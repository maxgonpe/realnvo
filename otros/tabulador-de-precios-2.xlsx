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  <sheet name="preciosxhora" sheetId="4" state="visible" r:id="rId4"/>
    <sheet name="NotasRendiciones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</font>
    <font>
      <name val="Calibri"/>
      <family val="0"/>
      <b val="1"/>
      <color rgb="FF000000"/>
      <sz val="11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4"/>
    </font>
    <font>
      <name val="Arial"/>
      <charset val="1"/>
      <family val="2"/>
      <color rgb="FF000000"/>
      <sz val="14"/>
    </font>
    <font>
      <b val="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left" vertical="bottom" wrapText="1"/>
    </xf>
    <xf numFmtId="0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right" vertical="bottom" wrapText="1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12" fillId="4" borderId="0" pivotButton="0" quotePrefix="0" xfId="0"/>
    <xf numFmtId="0" fontId="4" fillId="0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left" vertical="bottom" wrapText="1"/>
    </xf>
    <xf numFmtId="0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0" fillId="5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6" borderId="0" pivotButton="0" quotePrefix="0" xfId="0"/>
    <xf numFmtId="0" fontId="0" fillId="7" borderId="0" pivotButton="0" quotePrefix="0" xfId="0"/>
    <xf numFmtId="3" fontId="8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right" vertical="bottom" wrapText="1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bottom"/>
    </xf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9" activeCellId="0" sqref="H19"/>
    </sheetView>
  </sheetViews>
  <sheetFormatPr baseColWidth="8" defaultColWidth="11.53515625" defaultRowHeight="12.75" zeroHeight="0" outlineLevelRow="0"/>
  <cols>
    <col width="14" customWidth="1" style="24" min="1" max="1"/>
    <col width="20.44" customWidth="1" style="24" min="2" max="2"/>
    <col width="19.19" customWidth="1" style="24" min="3" max="3"/>
    <col width="16.69" customWidth="1" style="24" min="4" max="4"/>
    <col width="38.67" customWidth="1" style="24" min="5" max="5"/>
    <col width="77.19" customWidth="1" style="25" min="6" max="6"/>
    <col width="12" customWidth="1" style="26" min="7" max="7"/>
    <col width="10.29" customWidth="1" style="26" min="8" max="8"/>
    <col width="14" customWidth="1" style="24" min="9" max="9"/>
    <col width="17" customWidth="1" style="24" min="10" max="10"/>
  </cols>
  <sheetData>
    <row r="1" ht="15" customHeight="1" s="27">
      <c r="A1" s="28" t="n"/>
      <c r="B1" s="28" t="n"/>
      <c r="C1" s="28" t="n"/>
      <c r="D1" s="28" t="n"/>
      <c r="E1" s="28" t="n"/>
      <c r="F1" s="29" t="n"/>
      <c r="G1" s="28" t="n"/>
      <c r="H1" s="28" t="n"/>
      <c r="I1" s="28" t="n"/>
      <c r="J1" s="28" t="n"/>
    </row>
    <row r="2" ht="15" customHeight="1" s="27">
      <c r="A2" s="30" t="inlineStr">
        <is>
          <t>ID</t>
        </is>
      </c>
      <c r="B2" s="30" t="inlineStr">
        <is>
          <t>Modulo</t>
        </is>
      </c>
      <c r="C2" s="30" t="inlineStr">
        <is>
          <t>Fase</t>
        </is>
      </c>
      <c r="D2" s="30" t="inlineStr">
        <is>
          <t>Tipo</t>
        </is>
      </c>
      <c r="E2" s="30" t="inlineStr">
        <is>
          <t>Funcionalidad/Entregable</t>
        </is>
      </c>
      <c r="F2" s="31" t="inlineStr">
        <is>
          <t>Criterio de aceptación</t>
        </is>
      </c>
      <c r="G2" s="30" t="inlineStr">
        <is>
          <t>horas</t>
        </is>
      </c>
      <c r="H2" s="30" t="inlineStr">
        <is>
          <t>factor</t>
        </is>
      </c>
      <c r="I2" s="30" t="inlineStr">
        <is>
          <t>precio hora</t>
        </is>
      </c>
      <c r="J2" s="30" t="inlineStr">
        <is>
          <t>Precio final</t>
        </is>
      </c>
      <c r="K2" s="32" t="inlineStr">
        <is>
          <t>Avance (jul-2026)</t>
        </is>
      </c>
    </row>
    <row r="3" ht="15" customHeight="1" s="27">
      <c r="A3" s="24" t="inlineStr">
        <is>
          <t>A001</t>
        </is>
      </c>
      <c r="B3" s="24" t="inlineStr">
        <is>
          <t>Transversal</t>
        </is>
      </c>
      <c r="C3" s="24" t="inlineStr">
        <is>
          <t>MVP</t>
        </is>
      </c>
      <c r="D3" s="24" t="inlineStr">
        <is>
          <t>Análisis</t>
        </is>
      </c>
      <c r="E3" s="33" t="inlineStr">
        <is>
          <t>Levantamiento y alcance funcional</t>
        </is>
      </c>
      <c r="F3" s="34" t="inlineStr">
        <is>
          <t>Procesos, actores, excepciones y criterios de aceptación documentados.</t>
        </is>
      </c>
      <c r="G3" s="35" t="n">
        <v>4</v>
      </c>
      <c r="H3" s="35" t="n">
        <v>4</v>
      </c>
      <c r="I3" s="36">
        <f>IF($H3=1,preciosxhora!C$3,IF($H3=2,preciosxhora!C$4,IF($H3=3,preciosxhora!C$5,IF($H3=4,preciosxhora!C$6,0))))</f>
        <v/>
      </c>
      <c r="J3" s="36">
        <f>I3*G3</f>
        <v/>
      </c>
    </row>
    <row r="4" ht="15" customHeight="1" s="27">
      <c r="A4" s="24" t="inlineStr">
        <is>
          <t>A002</t>
        </is>
      </c>
      <c r="B4" s="24" t="inlineStr">
        <is>
          <t>Transversal</t>
        </is>
      </c>
      <c r="C4" s="24" t="inlineStr">
        <is>
          <t>MVP</t>
        </is>
      </c>
      <c r="D4" s="24" t="inlineStr">
        <is>
          <t>Backend</t>
        </is>
      </c>
      <c r="E4" s="33" t="inlineStr">
        <is>
          <t>Modelo de datos y migraciones</t>
        </is>
      </c>
      <c r="F4" s="34" t="inlineStr">
        <is>
          <t>Modelos, relaciones, restricciones e índices migran sin errores.</t>
        </is>
      </c>
      <c r="G4" s="35" t="n">
        <v>2</v>
      </c>
      <c r="H4" s="35" t="n">
        <v>1</v>
      </c>
      <c r="I4" s="36">
        <f>IF($H4=1,preciosxhora!C$3,IF($H4=2,preciosxhora!C$4,IF($H4=3,preciosxhora!C$5,IF($H4=4,preciosxhora!C$6,0))))</f>
        <v/>
      </c>
      <c r="J4" s="36">
        <f>I4*G4</f>
        <v/>
      </c>
    </row>
    <row r="5" ht="15" customHeight="1" s="27">
      <c r="A5" s="24" t="inlineStr">
        <is>
          <t>A003</t>
        </is>
      </c>
      <c r="B5" s="24" t="inlineStr">
        <is>
          <t>Transversal</t>
        </is>
      </c>
      <c r="C5" s="24" t="inlineStr">
        <is>
          <t>MVP</t>
        </is>
      </c>
      <c r="D5" s="24" t="inlineStr">
        <is>
          <t>Análisis</t>
        </is>
      </c>
      <c r="E5" s="33" t="inlineStr">
        <is>
          <t>Estados y reglas de negocio</t>
        </is>
      </c>
      <c r="F5" s="34" t="inlineStr">
        <is>
          <t>Matriz de estados, transiciones y excepciones validada.</t>
        </is>
      </c>
      <c r="G5" s="35" t="n">
        <v>2</v>
      </c>
      <c r="H5" s="35" t="n">
        <v>2</v>
      </c>
      <c r="I5" s="36">
        <f>IF($H5=1,preciosxhora!C$3,IF($H5=2,preciosxhora!C$4,IF($H5=3,preciosxhora!C$5,IF($H5=4,preciosxhora!C$6,0))))</f>
        <v/>
      </c>
      <c r="J5" s="36">
        <f>I5*G5</f>
        <v/>
      </c>
    </row>
    <row r="6" ht="15" customHeight="1" s="27">
      <c r="A6" s="24" t="inlineStr">
        <is>
          <t>A004</t>
        </is>
      </c>
      <c r="B6" s="24" t="inlineStr">
        <is>
          <t>Transversal</t>
        </is>
      </c>
      <c r="C6" s="24" t="inlineStr">
        <is>
          <t>MVP</t>
        </is>
      </c>
      <c r="D6" s="24" t="inlineStr">
        <is>
          <t>Backend</t>
        </is>
      </c>
      <c r="E6" s="33" t="inlineStr">
        <is>
          <t>Permisos y roles</t>
        </is>
      </c>
      <c r="F6" s="34" t="inlineStr">
        <is>
          <t>Acceso por rol y acción verificado en casos permitidos y denegados.</t>
        </is>
      </c>
      <c r="G6" s="35" t="n">
        <v>2</v>
      </c>
      <c r="H6" s="35" t="n">
        <v>2</v>
      </c>
      <c r="I6" s="36">
        <f>IF($H6=1,preciosxhora!C$3,IF($H6=2,preciosxhora!C$4,IF($H6=3,preciosxhora!C$5,IF($H6=4,preciosxhora!C$6,0))))</f>
        <v/>
      </c>
      <c r="J6" s="36">
        <f>I6*G6</f>
        <v/>
      </c>
    </row>
    <row r="7" ht="15" customHeight="1" s="27">
      <c r="A7" s="24" t="inlineStr">
        <is>
          <t>A005</t>
        </is>
      </c>
      <c r="B7" s="24" t="inlineStr">
        <is>
          <t>Transversal</t>
        </is>
      </c>
      <c r="C7" s="24" t="inlineStr">
        <is>
          <t>MVP</t>
        </is>
      </c>
      <c r="D7" s="24" t="inlineStr">
        <is>
          <t>Backend</t>
        </is>
      </c>
      <c r="E7" s="33" t="inlineStr">
        <is>
          <t>Auditoría e historial</t>
        </is>
      </c>
      <c r="F7" s="34" t="inlineStr">
        <is>
          <t>Cambios críticos conservan usuario, fecha, valor anterior y motivo.</t>
        </is>
      </c>
      <c r="G7" s="35" t="n">
        <v>2</v>
      </c>
      <c r="H7" s="35" t="n">
        <v>2</v>
      </c>
      <c r="I7" s="36">
        <f>IF($H7=1,preciosxhora!C$3,IF($H7=2,preciosxhora!C$4,IF($H7=3,preciosxhora!C$5,IF($H7=4,preciosxhora!C$6,0))))</f>
        <v/>
      </c>
      <c r="J7" s="36">
        <f>I7*G7</f>
        <v/>
      </c>
    </row>
    <row r="8" ht="15" customHeight="1" s="27">
      <c r="A8" s="24" t="inlineStr">
        <is>
          <t>A006</t>
        </is>
      </c>
      <c r="B8" s="24" t="inlineStr">
        <is>
          <t>Transversal</t>
        </is>
      </c>
      <c r="C8" s="24" t="inlineStr">
        <is>
          <t>MVP</t>
        </is>
      </c>
      <c r="D8" s="24" t="inlineStr">
        <is>
          <t>Backend</t>
        </is>
      </c>
      <c r="E8" s="33" t="inlineStr">
        <is>
          <t>Gestión de archivos adjuntos</t>
        </is>
      </c>
      <c r="F8" s="34" t="inlineStr">
        <is>
          <t>Validación, almacenamiento, acceso y descarga segura de respaldos.</t>
        </is>
      </c>
      <c r="G8" s="35" t="n">
        <v>1</v>
      </c>
      <c r="H8" s="35" t="n">
        <v>1</v>
      </c>
      <c r="I8" s="36">
        <f>IF($H8=1,preciosxhora!C$3,IF($H8=2,preciosxhora!C$4,IF($H8=3,preciosxhora!C$5,IF($H8=4,preciosxhora!C$6,0))))</f>
        <v/>
      </c>
      <c r="J8" s="36">
        <f>I8*G8</f>
        <v/>
      </c>
    </row>
    <row r="9" ht="15" customHeight="1" s="27">
      <c r="A9" s="24" t="inlineStr">
        <is>
          <t>A007</t>
        </is>
      </c>
      <c r="B9" s="24" t="inlineStr">
        <is>
          <t>Transversal</t>
        </is>
      </c>
      <c r="C9" s="24" t="inlineStr">
        <is>
          <t>MVP</t>
        </is>
      </c>
      <c r="D9" s="24" t="inlineStr">
        <is>
          <t>Frontend</t>
        </is>
      </c>
      <c r="E9" s="33" t="inlineStr">
        <is>
          <t>Diseño UX y navegación</t>
        </is>
      </c>
      <c r="F9" s="34" t="inlineStr">
        <is>
          <t>Flujos y pantallas principales aprobados antes de la construcción final.</t>
        </is>
      </c>
      <c r="G9" s="35" t="n">
        <v>0</v>
      </c>
      <c r="H9" s="35" t="n">
        <v>0</v>
      </c>
      <c r="I9" s="36">
        <f>IF($H9=1,preciosxhora!C$3,IF($H9=2,preciosxhora!C$4,IF($H9=3,preciosxhora!C$5,IF($H9=4,preciosxhora!C$6,0))))</f>
        <v/>
      </c>
      <c r="J9" s="36">
        <f>I9*G9</f>
        <v/>
      </c>
    </row>
    <row r="10" ht="15" customHeight="1" s="27">
      <c r="A10" s="24" t="inlineStr">
        <is>
          <t>R001</t>
        </is>
      </c>
      <c r="B10" s="24" t="inlineStr">
        <is>
          <t>Rendiciones</t>
        </is>
      </c>
      <c r="C10" s="24" t="inlineStr">
        <is>
          <t>MVP</t>
        </is>
      </c>
      <c r="D10" s="24" t="inlineStr">
        <is>
          <t>Frontend</t>
        </is>
      </c>
      <c r="E10" s="33" t="inlineStr">
        <is>
          <t>Lista y búsqueda de rendiciones</t>
        </is>
      </c>
      <c r="F10" s="34" t="inlineStr">
        <is>
          <t>Lista de rendiciones con totales y acceso a escritorio; falta búsqueda avanzada/paginación fina.</t>
        </is>
      </c>
      <c r="G10" s="35" t="n">
        <v>2</v>
      </c>
      <c r="H10" s="35" t="n">
        <v>2</v>
      </c>
      <c r="I10" s="36">
        <f>IF($H10=1,preciosxhora!C$3,IF($H10=2,preciosxhora!C$4,IF($H10=3,preciosxhora!C$5,IF($H10=4,preciosxhora!C$6,0))))</f>
        <v/>
      </c>
      <c r="J10" s="36">
        <f>I10*G10</f>
        <v/>
      </c>
      <c r="K10" s="37" t="inlineStr">
        <is>
          <t>Hecho</t>
        </is>
      </c>
    </row>
    <row r="11" ht="15" customHeight="1" s="27">
      <c r="A11" s="24" t="inlineStr">
        <is>
          <t>R002</t>
        </is>
      </c>
      <c r="B11" s="24" t="inlineStr">
        <is>
          <t>Rendiciones</t>
        </is>
      </c>
      <c r="C11" s="24" t="inlineStr">
        <is>
          <t>MVP</t>
        </is>
      </c>
      <c r="D11" s="24" t="inlineStr">
        <is>
          <t>Backend</t>
        </is>
      </c>
      <c r="E11" s="33" t="inlineStr">
        <is>
          <t>Crear y editar rendición</t>
        </is>
      </c>
      <c r="F11" s="34" t="inlineStr">
        <is>
          <t>Inicio claro de cabecera + escritorio editable (flujo operacional listo).</t>
        </is>
      </c>
      <c r="G11" s="35" t="n">
        <v>3</v>
      </c>
      <c r="H11" s="35" t="n">
        <v>2</v>
      </c>
      <c r="I11" s="36">
        <f>IF($H11=1,preciosxhora!C$3,IF($H11=2,preciosxhora!C$4,IF($H11=3,preciosxhora!C$5,IF($H11=4,preciosxhora!C$6,0))))</f>
        <v/>
      </c>
      <c r="J11" s="36">
        <f>I11*G11</f>
        <v/>
      </c>
      <c r="K11" s="37" t="inlineStr">
        <is>
          <t>Hecho</t>
        </is>
      </c>
    </row>
    <row r="12" ht="12.75" customHeight="1" s="27">
      <c r="A12" s="24" t="inlineStr">
        <is>
          <t>R003</t>
        </is>
      </c>
      <c r="B12" s="24" t="inlineStr">
        <is>
          <t>Rendiciones</t>
        </is>
      </c>
      <c r="C12" s="24" t="inlineStr">
        <is>
          <t>MVP</t>
        </is>
      </c>
      <c r="D12" s="24" t="inlineStr">
        <is>
          <t>Backend</t>
        </is>
      </c>
      <c r="E12" s="33" t="inlineStr">
        <is>
          <t>Responsables de rendición</t>
        </is>
      </c>
      <c r="F12" s="34" t="inlineStr">
        <is>
          <t>Hoy se crea responsable desde el usuario; falta UI de catálogo y datos históricos formales.</t>
        </is>
      </c>
      <c r="G12" s="38" t="n">
        <v>2</v>
      </c>
      <c r="H12" s="38" t="n">
        <v>2</v>
      </c>
      <c r="I12" s="36">
        <f>IF($H12=1,preciosxhora!C$3,IF($H12=2,preciosxhora!C$4,IF($H12=3,preciosxhora!C$5,IF($H12=4,preciosxhora!C$6,0))))</f>
        <v/>
      </c>
      <c r="J12" s="36">
        <f>I12*G12</f>
        <v/>
      </c>
      <c r="K12" s="39" t="inlineStr">
        <is>
          <t>Parcial</t>
        </is>
      </c>
    </row>
    <row r="13" ht="12.75" customHeight="1" s="27">
      <c r="A13" s="24" t="inlineStr">
        <is>
          <t>R004</t>
        </is>
      </c>
      <c r="B13" s="24" t="inlineStr">
        <is>
          <t>Rendiciones</t>
        </is>
      </c>
      <c r="C13" s="24" t="inlineStr">
        <is>
          <t>MVP</t>
        </is>
      </c>
      <c r="D13" s="24" t="inlineStr">
        <is>
          <t>Backend</t>
        </is>
      </c>
      <c r="E13" s="33" t="inlineStr">
        <is>
          <t>Categorías y subcategorías de gasto</t>
        </is>
      </c>
      <c r="F13" s="34" t="inlineStr">
        <is>
          <t>Catálogos administrables, activos y sin duplicados.</t>
        </is>
      </c>
      <c r="G13" s="38" t="n">
        <v>2</v>
      </c>
      <c r="H13" s="38" t="n">
        <v>1</v>
      </c>
      <c r="I13" s="36">
        <f>IF($H13=1,preciosxhora!C$3,IF($H13=2,preciosxhora!C$4,IF($H13=3,preciosxhora!C$5,IF($H13=4,preciosxhora!C$6,0))))</f>
        <v/>
      </c>
      <c r="J13" s="36">
        <f>I13*G13</f>
        <v/>
      </c>
      <c r="K13" s="40" t="inlineStr">
        <is>
          <t>Pendiente</t>
        </is>
      </c>
    </row>
    <row r="14" ht="12.75" customHeight="1" s="27">
      <c r="A14" s="24" t="inlineStr">
        <is>
          <t>R005</t>
        </is>
      </c>
      <c r="B14" s="24" t="inlineStr">
        <is>
          <t>Rendiciones</t>
        </is>
      </c>
      <c r="C14" s="24" t="inlineStr">
        <is>
          <t>MVP</t>
        </is>
      </c>
      <c r="D14" s="24" t="inlineStr">
        <is>
          <t>Backend</t>
        </is>
      </c>
      <c r="E14" s="33" t="inlineStr">
        <is>
          <t>Entregas de fondo</t>
        </is>
      </c>
      <c r="F14" s="34" t="inlineStr">
        <is>
          <t>Modelos listos; falta UI de múltiples entregas y saldo de fondos.</t>
        </is>
      </c>
      <c r="G14" s="38" t="n">
        <v>4</v>
      </c>
      <c r="H14" s="38" t="n">
        <v>2</v>
      </c>
      <c r="I14" s="36">
        <f>IF($H14=1,preciosxhora!C$3,IF($H14=2,preciosxhora!C$4,IF($H14=3,preciosxhora!C$5,IF($H14=4,preciosxhora!C$6,0))))</f>
        <v/>
      </c>
      <c r="J14" s="36">
        <f>I14*G14</f>
        <v/>
      </c>
      <c r="K14" s="40" t="inlineStr">
        <is>
          <t>Pendiente</t>
        </is>
      </c>
    </row>
    <row r="15" ht="12.75" customHeight="1" s="27">
      <c r="A15" s="24" t="inlineStr">
        <is>
          <t>R006</t>
        </is>
      </c>
      <c r="B15" s="24" t="inlineStr">
        <is>
          <t>Rendiciones</t>
        </is>
      </c>
      <c r="C15" s="24" t="inlineStr">
        <is>
          <t>MVP</t>
        </is>
      </c>
      <c r="D15" s="24" t="inlineStr">
        <is>
          <t>Backend</t>
        </is>
      </c>
      <c r="E15" s="33" t="inlineStr">
        <is>
          <t>Detalle de gastos</t>
        </is>
      </c>
      <c r="F15" s="34" t="inlineStr">
        <is>
          <t>Detalle en BD + ingreso por foto con OCR (RapidOCR), corrección manual, editar/eliminar. Esfuerzo real mayor por OCR.</t>
        </is>
      </c>
      <c r="G15" s="38" t="n">
        <v>8</v>
      </c>
      <c r="H15" s="38" t="n">
        <v>3</v>
      </c>
      <c r="I15" s="36">
        <f>IF($H15=1,preciosxhora!C$3,IF($H15=2,preciosxhora!C$4,IF($H15=3,preciosxhora!C$5,IF($H15=4,preciosxhora!C$6,0))))</f>
        <v/>
      </c>
      <c r="J15" s="36">
        <f>I15*G15</f>
        <v/>
      </c>
      <c r="K15" s="37" t="inlineStr">
        <is>
          <t>Hecho</t>
        </is>
      </c>
    </row>
    <row r="16" ht="12.75" customHeight="1" s="27">
      <c r="A16" s="24" t="inlineStr">
        <is>
          <t>R007</t>
        </is>
      </c>
      <c r="B16" s="24" t="inlineStr">
        <is>
          <t>Rendiciones</t>
        </is>
      </c>
      <c r="C16" s="24" t="inlineStr">
        <is>
          <t>MVP</t>
        </is>
      </c>
      <c r="D16" s="24" t="inlineStr">
        <is>
          <t>Frontend</t>
        </is>
      </c>
      <c r="E16" s="33" t="inlineStr">
        <is>
          <t>Adjuntos y previsualización</t>
        </is>
      </c>
      <c r="F16" s="34" t="inlineStr">
        <is>
          <t>Subida, previsualización, reemplazo y galería en escritorio/PDF.</t>
        </is>
      </c>
      <c r="G16" s="38" t="n">
        <v>3</v>
      </c>
      <c r="H16" s="38" t="n">
        <v>2</v>
      </c>
      <c r="I16" s="36">
        <f>IF($H16=1,preciosxhora!C$3,IF($H16=2,preciosxhora!C$4,IF($H16=3,preciosxhora!C$5,IF($H16=4,preciosxhora!C$6,0))))</f>
        <v/>
      </c>
      <c r="J16" s="36">
        <f>I16*G16</f>
        <v/>
      </c>
      <c r="K16" s="37" t="inlineStr">
        <is>
          <t>Hecho</t>
        </is>
      </c>
    </row>
    <row r="17" ht="12.75" customHeight="1" s="27">
      <c r="A17" s="24" t="inlineStr">
        <is>
          <t>R008</t>
        </is>
      </c>
      <c r="B17" s="24" t="inlineStr">
        <is>
          <t>Rendiciones</t>
        </is>
      </c>
      <c r="C17" s="24" t="inlineStr">
        <is>
          <t>MVP</t>
        </is>
      </c>
      <c r="D17" s="24" t="inlineStr">
        <is>
          <t>Backend</t>
        </is>
      </c>
      <c r="E17" s="33" t="inlineStr">
        <is>
          <t>Validación documental</t>
        </is>
      </c>
      <c r="F17" s="34" t="inlineStr">
        <is>
          <t>Validaciones básicas al guardar; falta control fuerte de duplicados y reglas documentales avanzadas.</t>
        </is>
      </c>
      <c r="G17" s="38" t="n">
        <v>3</v>
      </c>
      <c r="H17" s="38" t="n">
        <v>2</v>
      </c>
      <c r="I17" s="36">
        <f>IF($H17=1,preciosxhora!C$3,IF($H17=2,preciosxhora!C$4,IF($H17=3,preciosxhora!C$5,IF($H17=4,preciosxhora!C$6,0))))</f>
        <v/>
      </c>
      <c r="J17" s="36">
        <f>I17*G17</f>
        <v/>
      </c>
      <c r="K17" s="39" t="inlineStr">
        <is>
          <t>Parcial</t>
        </is>
      </c>
    </row>
    <row r="18" ht="12.75" customHeight="1" s="27">
      <c r="A18" s="24" t="inlineStr">
        <is>
          <t>R009</t>
        </is>
      </c>
      <c r="B18" s="24" t="inlineStr">
        <is>
          <t>Rendiciones</t>
        </is>
      </c>
      <c r="C18" s="24" t="inlineStr">
        <is>
          <t>MVP</t>
        </is>
      </c>
      <c r="D18" s="24" t="inlineStr">
        <is>
          <t>Backend</t>
        </is>
      </c>
      <c r="E18" s="33" t="inlineStr">
        <is>
          <t>Cálculos de rendición</t>
        </is>
      </c>
      <c r="F18" s="34" t="inlineStr">
        <is>
          <t>Suma de soportes y totales en escritorio/lista/PDF.</t>
        </is>
      </c>
      <c r="G18" s="38" t="n">
        <v>2</v>
      </c>
      <c r="H18" s="38" t="n">
        <v>1</v>
      </c>
      <c r="I18" s="36">
        <f>IF($H18=1,preciosxhora!C$3,IF($H18=2,preciosxhora!C$4,IF($H18=3,preciosxhora!C$5,IF($H18=4,preciosxhora!C$6,0))))</f>
        <v/>
      </c>
      <c r="J18" s="36">
        <f>I18*G18</f>
        <v/>
      </c>
      <c r="K18" s="37" t="inlineStr">
        <is>
          <t>Hecho</t>
        </is>
      </c>
    </row>
    <row r="19" ht="16.4" customHeight="1" s="27">
      <c r="A19" s="24" t="inlineStr">
        <is>
          <t>R010</t>
        </is>
      </c>
      <c r="B19" s="24" t="inlineStr">
        <is>
          <t>Rendiciones</t>
        </is>
      </c>
      <c r="C19" s="24" t="inlineStr">
        <is>
          <t>MVP</t>
        </is>
      </c>
      <c r="D19" s="24" t="inlineStr">
        <is>
          <t>Backend</t>
        </is>
      </c>
      <c r="E19" s="33" t="inlineStr">
        <is>
          <t>Presentación de rendición</t>
        </is>
      </c>
      <c r="F19" s="34" t="inlineStr">
        <is>
          <t>Cerrar carga (PRESENTADA), reabrir y bloqueo de edición según estado.</t>
        </is>
      </c>
      <c r="G19" s="26" t="n">
        <v>2</v>
      </c>
      <c r="H19" s="26" t="n">
        <v>1</v>
      </c>
      <c r="I19" s="36">
        <f>IF($H19=1,preciosxhora!C$3,IF($H19=2,preciosxhora!C$4,IF($H19=3,preciosxhora!C$5,IF($H19=4,preciosxhora!C$6,0))))</f>
        <v/>
      </c>
      <c r="J19" s="36">
        <f>I19*G19</f>
        <v/>
      </c>
      <c r="K19" s="37" t="inlineStr">
        <is>
          <t>Hecho</t>
        </is>
      </c>
    </row>
    <row r="20" ht="16.4" customHeight="1" s="27">
      <c r="A20" s="24" t="inlineStr">
        <is>
          <t>R011</t>
        </is>
      </c>
      <c r="B20" s="24" t="inlineStr">
        <is>
          <t>Rendiciones</t>
        </is>
      </c>
      <c r="C20" s="24" t="inlineStr">
        <is>
          <t>MVP</t>
        </is>
      </c>
      <c r="D20" s="24" t="inlineStr">
        <is>
          <t>Frontend</t>
        </is>
      </c>
      <c r="E20" s="33" t="inlineStr">
        <is>
          <t>Revisión y observaciones</t>
        </is>
      </c>
      <c r="F20" s="34" t="inlineStr">
        <is>
          <t>Observaciones por gasto y devolución a corrección.</t>
        </is>
      </c>
      <c r="G20" s="26" t="n">
        <v>4</v>
      </c>
      <c r="H20" s="26" t="n">
        <v>2</v>
      </c>
      <c r="I20" s="36">
        <f>IF($H20=1,preciosxhora!C$3,IF($H20=2,preciosxhora!C$4,IF($H20=3,preciosxhora!C$5,IF($H20=4,preciosxhora!C$6,0))))</f>
        <v/>
      </c>
      <c r="J20" s="36">
        <f>I20*G20</f>
        <v/>
      </c>
      <c r="K20" s="40" t="inlineStr">
        <is>
          <t>Pendiente</t>
        </is>
      </c>
    </row>
    <row r="21" ht="16.4" customHeight="1" s="27">
      <c r="A21" s="24" t="inlineStr">
        <is>
          <t>R012</t>
        </is>
      </c>
      <c r="B21" s="24" t="inlineStr">
        <is>
          <t>Rendiciones</t>
        </is>
      </c>
      <c r="C21" s="24" t="inlineStr">
        <is>
          <t>MVP</t>
        </is>
      </c>
      <c r="D21" s="24" t="inlineStr">
        <is>
          <t>Backend</t>
        </is>
      </c>
      <c r="E21" s="33" t="inlineStr">
        <is>
          <t>Aprobación y rechazo</t>
        </is>
      </c>
      <c r="F21" s="34" t="inlineStr">
        <is>
          <t>Modelo de aprobaciones existe; falta flujo UI completo de aprobación/rechazo.</t>
        </is>
      </c>
      <c r="G21" s="26" t="n">
        <v>4</v>
      </c>
      <c r="H21" s="26" t="n">
        <v>2</v>
      </c>
      <c r="I21" s="36">
        <f>IF($H21=1,preciosxhora!C$3,IF($H21=2,preciosxhora!C$4,IF($H21=3,preciosxhora!C$5,IF($H21=4,preciosxhora!C$6,0))))</f>
        <v/>
      </c>
      <c r="J21" s="36">
        <f>I21*G21</f>
        <v/>
      </c>
      <c r="K21" s="40" t="inlineStr">
        <is>
          <t>Pendiente</t>
        </is>
      </c>
    </row>
    <row r="22" ht="16.4" customHeight="1" s="27">
      <c r="A22" s="24" t="inlineStr">
        <is>
          <t>R013</t>
        </is>
      </c>
      <c r="B22" s="24" t="inlineStr">
        <is>
          <t>Rendiciones</t>
        </is>
      </c>
      <c r="C22" s="24" t="inlineStr">
        <is>
          <t>MVP</t>
        </is>
      </c>
      <c r="D22" s="24" t="inlineStr">
        <is>
          <t>Frontend</t>
        </is>
      </c>
      <c r="E22" s="33" t="inlineStr">
        <is>
          <t>Historial de aprobaciones</t>
        </is>
      </c>
      <c r="F22" s="34" t="inlineStr">
        <is>
          <t>Secuencia completa visible para el usuario autorizado.</t>
        </is>
      </c>
      <c r="G22" s="26" t="n">
        <v>2</v>
      </c>
      <c r="H22" s="26" t="n">
        <v>1</v>
      </c>
      <c r="I22" s="36">
        <f>IF($H22=1,preciosxhora!C$3,IF($H22=2,preciosxhora!C$4,IF($H22=3,preciosxhora!C$5,IF($H22=4,preciosxhora!C$6,0))))</f>
        <v/>
      </c>
      <c r="J22" s="36">
        <f>I22*G22</f>
        <v/>
      </c>
      <c r="K22" s="40" t="inlineStr">
        <is>
          <t>Pendiente</t>
        </is>
      </c>
    </row>
    <row r="23" ht="16.4" customHeight="1" s="27">
      <c r="A23" s="24" t="inlineStr">
        <is>
          <t>R014</t>
        </is>
      </c>
      <c r="B23" s="24" t="inlineStr">
        <is>
          <t>Rendiciones</t>
        </is>
      </c>
      <c r="C23" s="24" t="inlineStr">
        <is>
          <t>MVP</t>
        </is>
      </c>
      <c r="D23" s="24" t="inlineStr">
        <is>
          <t>Backend</t>
        </is>
      </c>
      <c r="E23" s="33" t="inlineStr">
        <is>
          <t>Liquidación de rendición</t>
        </is>
      </c>
      <c r="F23" s="34" t="inlineStr">
        <is>
          <t>Modelo LiquidacionRendicion existe; falta cálculo operativo UI + foto de totales.</t>
        </is>
      </c>
      <c r="G23" s="26" t="n">
        <v>5</v>
      </c>
      <c r="H23" s="26" t="n">
        <v>3</v>
      </c>
      <c r="I23" s="36">
        <f>IF($H23=1,preciosxhora!C$3,IF($H23=2,preciosxhora!C$4,IF($H23=3,preciosxhora!C$5,IF($H23=4,preciosxhora!C$6,0))))</f>
        <v/>
      </c>
      <c r="J23" s="36">
        <f>I23*G23</f>
        <v/>
      </c>
      <c r="K23" s="40" t="inlineStr">
        <is>
          <t>Pendiente</t>
        </is>
      </c>
    </row>
    <row r="24" ht="16.4" customHeight="1" s="27">
      <c r="A24" s="24" t="inlineStr">
        <is>
          <t>R015</t>
        </is>
      </c>
      <c r="B24" s="24" t="inlineStr">
        <is>
          <t>Rendiciones</t>
        </is>
      </c>
      <c r="C24" s="24" t="inlineStr">
        <is>
          <t>MVP</t>
        </is>
      </c>
      <c r="D24" s="24" t="inlineStr">
        <is>
          <t>Backend</t>
        </is>
      </c>
      <c r="E24" s="33" t="inlineStr">
        <is>
          <t>Devolución del responsable</t>
        </is>
      </c>
      <c r="F24" s="34" t="inlineStr">
        <is>
          <t>Registro y enlace con el ingreso bancario correspondiente.</t>
        </is>
      </c>
      <c r="G24" s="26" t="n">
        <v>3</v>
      </c>
      <c r="H24" s="26" t="n">
        <v>2</v>
      </c>
      <c r="I24" s="36">
        <f>IF($H24=1,preciosxhora!C$3,IF($H24=2,preciosxhora!C$4,IF($H24=3,preciosxhora!C$5,IF($H24=4,preciosxhora!C$6,0))))</f>
        <v/>
      </c>
      <c r="J24" s="36">
        <f>I24*G24</f>
        <v/>
      </c>
      <c r="K24" s="40" t="inlineStr">
        <is>
          <t>Pendiente</t>
        </is>
      </c>
    </row>
    <row r="25" ht="16.4" customHeight="1" s="27">
      <c r="A25" s="24" t="inlineStr">
        <is>
          <t>R016</t>
        </is>
      </c>
      <c r="B25" s="24" t="inlineStr">
        <is>
          <t>Rendiciones</t>
        </is>
      </c>
      <c r="C25" s="24" t="inlineStr">
        <is>
          <t>MVP</t>
        </is>
      </c>
      <c r="D25" s="24" t="inlineStr">
        <is>
          <t>Backend</t>
        </is>
      </c>
      <c r="E25" s="33" t="inlineStr">
        <is>
          <t>Reembolso al responsable</t>
        </is>
      </c>
      <c r="F25" s="34" t="inlineStr">
        <is>
          <t>Orden de pago, estado y enlace con egreso bancario.</t>
        </is>
      </c>
      <c r="G25" s="26" t="n">
        <v>3</v>
      </c>
      <c r="H25" s="26" t="n">
        <v>2</v>
      </c>
      <c r="I25" s="36">
        <f>IF($H25=1,preciosxhora!C$3,IF($H25=2,preciosxhora!C$4,IF($H25=3,preciosxhora!C$5,IF($H25=4,preciosxhora!C$6,0))))</f>
        <v/>
      </c>
      <c r="J25" s="36">
        <f>I25*G25</f>
        <v/>
      </c>
      <c r="K25" s="40" t="inlineStr">
        <is>
          <t>Pendiente</t>
        </is>
      </c>
    </row>
    <row r="26" ht="16.4" customHeight="1" s="27">
      <c r="A26" s="24" t="inlineStr">
        <is>
          <t>R017</t>
        </is>
      </c>
      <c r="B26" s="24" t="inlineStr">
        <is>
          <t>Rendiciones</t>
        </is>
      </c>
      <c r="C26" s="24" t="inlineStr">
        <is>
          <t>MVP</t>
        </is>
      </c>
      <c r="D26" s="24" t="inlineStr">
        <is>
          <t>Integración</t>
        </is>
      </c>
      <c r="E26" s="33" t="inlineStr">
        <is>
          <t>Conciliación de liquidaciones</t>
        </is>
      </c>
      <c r="F26" s="34" t="inlineStr">
        <is>
          <t>Depende de módulo banco; estimar cuando se aborde conciliación.</t>
        </is>
      </c>
      <c r="G26" s="26" t="n">
        <v>4</v>
      </c>
      <c r="H26" s="26" t="n">
        <v>3</v>
      </c>
      <c r="I26" s="36">
        <f>IF($H26=1,preciosxhora!C$3,IF($H26=2,preciosxhora!C$4,IF($H26=3,preciosxhora!C$5,IF($H26=4,preciosxhora!C$6,0))))</f>
        <v/>
      </c>
      <c r="J26" s="36">
        <f>I26*G26</f>
        <v/>
      </c>
      <c r="K26" s="40" t="inlineStr">
        <is>
          <t>Pendiente</t>
        </is>
      </c>
    </row>
    <row r="27" ht="16.4" customHeight="1" s="27">
      <c r="A27" s="24" t="inlineStr">
        <is>
          <t>R018</t>
        </is>
      </c>
      <c r="B27" s="24" t="inlineStr">
        <is>
          <t>Rendiciones</t>
        </is>
      </c>
      <c r="C27" s="24" t="inlineStr">
        <is>
          <t>Fase 2</t>
        </is>
      </c>
      <c r="D27" s="24" t="inlineStr">
        <is>
          <t>Backend</t>
        </is>
      </c>
      <c r="E27" s="33" t="inlineStr">
        <is>
          <t>Alertas de rendiciones</t>
        </is>
      </c>
      <c r="F27" s="34" t="inlineStr">
        <is>
          <t>Pendientes, vencidas, observadas y fondos sin rendir.</t>
        </is>
      </c>
      <c r="G27" s="26" t="n">
        <v>3</v>
      </c>
      <c r="H27" s="26" t="n">
        <v>2</v>
      </c>
      <c r="I27" s="36">
        <f>IF($H27=1,preciosxhora!C$3,IF($H27=2,preciosxhora!C$4,IF($H27=3,preciosxhora!C$5,IF($H27=4,preciosxhora!C$6,0))))</f>
        <v/>
      </c>
      <c r="J27" s="36">
        <f>I27*G27</f>
        <v/>
      </c>
      <c r="K27" s="40" t="inlineStr">
        <is>
          <t>Pendiente</t>
        </is>
      </c>
    </row>
    <row r="28" ht="16.4" customHeight="1" s="27">
      <c r="A28" s="24" t="inlineStr">
        <is>
          <t>R019</t>
        </is>
      </c>
      <c r="B28" s="24" t="inlineStr">
        <is>
          <t>Rendiciones</t>
        </is>
      </c>
      <c r="C28" s="24" t="inlineStr">
        <is>
          <t>Fase 2</t>
        </is>
      </c>
      <c r="D28" s="24" t="inlineStr">
        <is>
          <t>Frontend</t>
        </is>
      </c>
      <c r="E28" s="33" t="inlineStr">
        <is>
          <t>Exportación PDF y Excel</t>
        </is>
      </c>
      <c r="F28" s="34" t="inlineStr">
        <is>
          <t>PDF operativo; falta Excel de resumen/detalle.</t>
        </is>
      </c>
      <c r="G28" s="26" t="n">
        <v>3</v>
      </c>
      <c r="H28" s="26" t="n">
        <v>2</v>
      </c>
      <c r="I28" s="36">
        <f>IF($H28=1,preciosxhora!C$3,IF($H28=2,preciosxhora!C$4,IF($H28=3,preciosxhora!C$5,IF($H28=4,preciosxhora!C$6,0))))</f>
        <v/>
      </c>
      <c r="J28" s="36">
        <f>I28*G28</f>
        <v/>
      </c>
      <c r="K28" s="39" t="inlineStr">
        <is>
          <t>Parcial</t>
        </is>
      </c>
    </row>
    <row r="29" ht="16.4" customHeight="1" s="27">
      <c r="A29" s="24" t="inlineStr">
        <is>
          <t>R020</t>
        </is>
      </c>
      <c r="B29" s="24" t="inlineStr">
        <is>
          <t>Rendiciones</t>
        </is>
      </c>
      <c r="C29" s="24" t="inlineStr">
        <is>
          <t>Fase 2</t>
        </is>
      </c>
      <c r="D29" s="24" t="inlineStr">
        <is>
          <t>Frontend</t>
        </is>
      </c>
      <c r="E29" s="33" t="inlineStr">
        <is>
          <t>Dashboard de rendiciones</t>
        </is>
      </c>
      <c r="F29" s="34" t="inlineStr">
        <is>
          <t>Indicadores por responsable, estado y diferencia.</t>
        </is>
      </c>
      <c r="G29" s="26" t="n">
        <v>4</v>
      </c>
      <c r="H29" s="26" t="n">
        <v>2</v>
      </c>
      <c r="I29" s="36">
        <f>IF($H29=1,preciosxhora!C$3,IF($H29=2,preciosxhora!C$4,IF($H29=3,preciosxhora!C$5,IF($H29=4,preciosxhora!C$6,0))))</f>
        <v/>
      </c>
      <c r="J29" s="36">
        <f>I29*G29</f>
        <v/>
      </c>
      <c r="K29" s="40" t="inlineStr">
        <is>
          <t>Pendiente</t>
        </is>
      </c>
    </row>
    <row r="30" ht="16.4" customHeight="1" s="27">
      <c r="A30" s="24" t="inlineStr">
        <is>
          <t>R021</t>
        </is>
      </c>
      <c r="B30" s="24" t="inlineStr">
        <is>
          <t>Rendiciones</t>
        </is>
      </c>
      <c r="C30" s="24" t="inlineStr">
        <is>
          <t>MVP</t>
        </is>
      </c>
      <c r="D30" s="24" t="inlineStr">
        <is>
          <t>QA</t>
        </is>
      </c>
      <c r="E30" s="33" t="inlineStr">
        <is>
          <t>Pruebas del módulo</t>
        </is>
      </c>
      <c r="F30" s="34" t="inlineStr">
        <is>
          <t>Incluye regresión de OCR, estados y liquidación.</t>
        </is>
      </c>
      <c r="G30" s="26" t="n">
        <v>4</v>
      </c>
      <c r="H30" s="26" t="n">
        <v>2</v>
      </c>
      <c r="I30" s="36">
        <f>IF($H30=1,preciosxhora!C$3,IF($H30=2,preciosxhora!C$4,IF($H30=3,preciosxhora!C$5,IF($H30=4,preciosxhora!C$6,0))))</f>
        <v/>
      </c>
      <c r="J30" s="36">
        <f>I30*G30</f>
        <v/>
      </c>
      <c r="K30" s="40" t="inlineStr">
        <is>
          <t>Pendiente</t>
        </is>
      </c>
    </row>
    <row r="31" ht="16.4" customHeight="1" s="27">
      <c r="A31" s="24" t="inlineStr">
        <is>
          <t>R022</t>
        </is>
      </c>
      <c r="B31" s="24" t="inlineStr">
        <is>
          <t>Rendiciones</t>
        </is>
      </c>
      <c r="C31" s="24" t="inlineStr">
        <is>
          <t>Opcional</t>
        </is>
      </c>
      <c r="D31" s="24" t="inlineStr">
        <is>
          <t>Documentación</t>
        </is>
      </c>
      <c r="E31" s="33" t="inlineStr">
        <is>
          <t>Manual de rendiciones</t>
        </is>
      </c>
      <c r="F31" s="34" t="inlineStr">
        <is>
          <t>Guía operativa y resolución de casos frecuentes.</t>
        </is>
      </c>
      <c r="G31" s="26" t="n">
        <v>2</v>
      </c>
      <c r="H31" s="26" t="n">
        <v>1</v>
      </c>
      <c r="I31" s="36">
        <f>IF($H31=1,preciosxhora!C$3,IF($H31=2,preciosxhora!C$4,IF($H31=3,preciosxhora!C$5,IF($H31=4,preciosxhora!C$6,0))))</f>
        <v/>
      </c>
      <c r="J31" s="36">
        <f>I31*G31</f>
        <v/>
      </c>
      <c r="K31" s="40" t="inlineStr">
        <is>
          <t>Pendiente</t>
        </is>
      </c>
    </row>
    <row r="32" ht="16.4" customHeight="1" s="27">
      <c r="A32" s="24" t="inlineStr">
        <is>
          <t>B001</t>
        </is>
      </c>
      <c r="B32" s="24" t="inlineStr">
        <is>
          <t>Banco y conciliación</t>
        </is>
      </c>
      <c r="C32" s="24" t="inlineStr">
        <is>
          <t>MVP</t>
        </is>
      </c>
      <c r="D32" s="24" t="inlineStr">
        <is>
          <t>Backend</t>
        </is>
      </c>
      <c r="E32" s="33" t="inlineStr">
        <is>
          <t>Catálogo de bancos</t>
        </is>
      </c>
      <c r="F32" s="34" t="inlineStr">
        <is>
          <t>Bancos activos y datos consistentes.</t>
        </is>
      </c>
      <c r="G32" s="26" t="n">
        <v>0</v>
      </c>
      <c r="H32" s="26" t="n">
        <v>0</v>
      </c>
      <c r="I32" s="36">
        <f>IF($H32=1,preciosxhora!C$3,IF($H32=2,preciosxhora!C$4,IF($H32=3,preciosxhora!C$5,IF($H32=4,preciosxhora!C$6,0))))</f>
        <v/>
      </c>
      <c r="J32" s="36">
        <f>I32*G32</f>
        <v/>
      </c>
    </row>
    <row r="33" ht="16.4" customHeight="1" s="27">
      <c r="A33" s="24" t="inlineStr">
        <is>
          <t>B002</t>
        </is>
      </c>
      <c r="B33" s="24" t="inlineStr">
        <is>
          <t>Banco y conciliación</t>
        </is>
      </c>
      <c r="C33" s="24" t="inlineStr">
        <is>
          <t>MVP</t>
        </is>
      </c>
      <c r="D33" s="24" t="inlineStr">
        <is>
          <t>Backend</t>
        </is>
      </c>
      <c r="E33" s="33" t="inlineStr">
        <is>
          <t>Cuentas bancarias</t>
        </is>
      </c>
      <c r="F33" s="34" t="inlineStr">
        <is>
          <t>Cuenta, moneda, banco, titular y estado.</t>
        </is>
      </c>
      <c r="G33" s="26" t="n">
        <v>0</v>
      </c>
      <c r="H33" s="26" t="n">
        <v>0</v>
      </c>
      <c r="I33" s="36">
        <f>IF($H33=1,preciosxhora!C$3,IF($H33=2,preciosxhora!C$4,IF($H33=3,preciosxhora!C$5,IF($H33=4,preciosxhora!C$6,0))))</f>
        <v/>
      </c>
      <c r="J33" s="36">
        <f>I33*G33</f>
        <v/>
      </c>
    </row>
    <row r="34" ht="16.4" customHeight="1" s="27">
      <c r="A34" s="24" t="inlineStr">
        <is>
          <t>B003</t>
        </is>
      </c>
      <c r="B34" s="24" t="inlineStr">
        <is>
          <t>Banco y conciliación</t>
        </is>
      </c>
      <c r="C34" s="24" t="inlineStr">
        <is>
          <t>MVP</t>
        </is>
      </c>
      <c r="D34" s="24" t="inlineStr">
        <is>
          <t>Integración</t>
        </is>
      </c>
      <c r="E34" s="33" t="inlineStr">
        <is>
          <t>Importación de cartolas CSV/XLSX</t>
        </is>
      </c>
      <c r="F34" s="34" t="inlineStr">
        <is>
          <t>Archivo importado con validación y resumen de errores.</t>
        </is>
      </c>
      <c r="G34" s="26" t="n">
        <v>0</v>
      </c>
      <c r="H34" s="26" t="n">
        <v>0</v>
      </c>
      <c r="I34" s="36">
        <f>IF($H34=1,preciosxhora!C$3,IF($H34=2,preciosxhora!C$4,IF($H34=3,preciosxhora!C$5,IF($H34=4,preciosxhora!C$6,0))))</f>
        <v/>
      </c>
      <c r="J34" s="36">
        <f>I34*G34</f>
        <v/>
      </c>
    </row>
    <row r="35" ht="16.4" customHeight="1" s="27">
      <c r="A35" s="24" t="inlineStr">
        <is>
          <t>B004</t>
        </is>
      </c>
      <c r="B35" s="24" t="inlineStr">
        <is>
          <t>Banco y conciliación</t>
        </is>
      </c>
      <c r="C35" s="24" t="inlineStr">
        <is>
          <t>MVP</t>
        </is>
      </c>
      <c r="D35" s="24" t="inlineStr">
        <is>
          <t>Integración</t>
        </is>
      </c>
      <c r="E35" s="33" t="inlineStr">
        <is>
          <t>Plantillas de mapeo bancario</t>
        </is>
      </c>
      <c r="F35" s="34" t="inlineStr">
        <is>
          <t>Columnas configurables por banco y formato.</t>
        </is>
      </c>
      <c r="G35" s="26" t="n">
        <v>0</v>
      </c>
      <c r="H35" s="26" t="n">
        <v>0</v>
      </c>
      <c r="I35" s="36">
        <f>IF($H35=1,preciosxhora!C$3,IF($H35=2,preciosxhora!C$4,IF($H35=3,preciosxhora!C$5,IF($H35=4,preciosxhora!C$6,0))))</f>
        <v/>
      </c>
      <c r="J35" s="36">
        <f>I35*G35</f>
        <v/>
      </c>
    </row>
    <row r="36" ht="16.4" customHeight="1" s="27">
      <c r="A36" s="24" t="inlineStr">
        <is>
          <t>B005</t>
        </is>
      </c>
      <c r="B36" s="24" t="inlineStr">
        <is>
          <t>Banco y conciliación</t>
        </is>
      </c>
      <c r="C36" s="24" t="inlineStr">
        <is>
          <t>MVP</t>
        </is>
      </c>
      <c r="D36" s="24" t="inlineStr">
        <is>
          <t>Backend</t>
        </is>
      </c>
      <c r="E36" s="33" t="inlineStr">
        <is>
          <t>Detección de duplicados</t>
        </is>
      </c>
      <c r="F36" s="34" t="inlineStr">
        <is>
          <t>Hash de archivo y fingerprint por movimiento.</t>
        </is>
      </c>
      <c r="G36" s="26" t="n">
        <v>0</v>
      </c>
      <c r="H36" s="26" t="n">
        <v>0</v>
      </c>
      <c r="I36" s="36">
        <f>IF($H36=1,preciosxhora!C$3,IF($H36=2,preciosxhora!C$4,IF($H36=3,preciosxhora!C$5,IF($H36=4,preciosxhora!C$6,0))))</f>
        <v/>
      </c>
      <c r="J36" s="36">
        <f>I36*G36</f>
        <v/>
      </c>
    </row>
    <row r="37" ht="16.4" customHeight="1" s="27">
      <c r="A37" s="24" t="inlineStr">
        <is>
          <t>B006</t>
        </is>
      </c>
      <c r="B37" s="24" t="inlineStr">
        <is>
          <t>Banco y conciliación</t>
        </is>
      </c>
      <c r="C37" s="24" t="inlineStr">
        <is>
          <t>MVP</t>
        </is>
      </c>
      <c r="D37" s="24" t="inlineStr">
        <is>
          <t>Frontend</t>
        </is>
      </c>
      <c r="E37" s="33" t="inlineStr">
        <is>
          <t>Lista de movimientos</t>
        </is>
      </c>
      <c r="F37" s="34" t="inlineStr">
        <is>
          <t>Filtros por cuenta, fecha, monto, texto y estado.</t>
        </is>
      </c>
      <c r="G37" s="26" t="n">
        <v>0</v>
      </c>
      <c r="H37" s="26" t="n">
        <v>0</v>
      </c>
      <c r="I37" s="36">
        <f>IF($H37=1,preciosxhora!C$3,IF($H37=2,preciosxhora!C$4,IF($H37=3,preciosxhora!C$5,IF($H37=4,preciosxhora!C$6,0))))</f>
        <v/>
      </c>
      <c r="J37" s="36">
        <f>I37*G37</f>
        <v/>
      </c>
    </row>
    <row r="38" ht="16.4" customHeight="1" s="27">
      <c r="A38" s="24" t="inlineStr">
        <is>
          <t>B007</t>
        </is>
      </c>
      <c r="B38" s="24" t="inlineStr">
        <is>
          <t>Banco y conciliación</t>
        </is>
      </c>
      <c r="C38" s="24" t="inlineStr">
        <is>
          <t>MVP</t>
        </is>
      </c>
      <c r="D38" s="24" t="inlineStr">
        <is>
          <t>Frontend</t>
        </is>
      </c>
      <c r="E38" s="33" t="inlineStr">
        <is>
          <t>Detalle de movimiento</t>
        </is>
      </c>
      <c r="F38" s="34" t="inlineStr">
        <is>
          <t>Datos originales, aplicaciones y trazabilidad.</t>
        </is>
      </c>
      <c r="G38" s="26" t="n">
        <v>0</v>
      </c>
      <c r="H38" s="26" t="n">
        <v>0</v>
      </c>
      <c r="I38" s="36">
        <f>IF($H38=1,preciosxhora!C$3,IF($H38=2,preciosxhora!C$4,IF($H38=3,preciosxhora!C$5,IF($H38=4,preciosxhora!C$6,0))))</f>
        <v/>
      </c>
      <c r="J38" s="36">
        <f>I38*G38</f>
        <v/>
      </c>
    </row>
    <row r="39" ht="16.4" customHeight="1" s="27">
      <c r="A39" s="24" t="inlineStr">
        <is>
          <t>B008</t>
        </is>
      </c>
      <c r="B39" s="24" t="inlineStr">
        <is>
          <t>Banco y conciliación</t>
        </is>
      </c>
      <c r="C39" s="24" t="inlineStr">
        <is>
          <t>MVP</t>
        </is>
      </c>
      <c r="D39" s="24" t="inlineStr">
        <is>
          <t>Backend</t>
        </is>
      </c>
      <c r="E39" s="33" t="inlineStr">
        <is>
          <t>Clasificación manual</t>
        </is>
      </c>
      <c r="F39" s="34" t="inlineStr">
        <is>
          <t>Tipo, contraparte y observación justificable.</t>
        </is>
      </c>
      <c r="G39" s="26" t="n">
        <v>0</v>
      </c>
      <c r="H39" s="26" t="n">
        <v>0</v>
      </c>
      <c r="I39" s="36">
        <f>IF($H39=1,preciosxhora!C$3,IF($H39=2,preciosxhora!C$4,IF($H39=3,preciosxhora!C$5,IF($H39=4,preciosxhora!C$6,0))))</f>
        <v/>
      </c>
      <c r="J39" s="36">
        <f>I39*G39</f>
        <v/>
      </c>
    </row>
    <row r="40" ht="16.4" customHeight="1" s="27">
      <c r="A40" s="24" t="inlineStr">
        <is>
          <t>B009</t>
        </is>
      </c>
      <c r="B40" s="24" t="inlineStr">
        <is>
          <t>Banco y conciliación</t>
        </is>
      </c>
      <c r="C40" s="24" t="inlineStr">
        <is>
          <t>MVP</t>
        </is>
      </c>
      <c r="D40" s="24" t="inlineStr">
        <is>
          <t>Backend</t>
        </is>
      </c>
      <c r="E40" s="33" t="inlineStr">
        <is>
          <t>Aplicaciones bancarias múltiples</t>
        </is>
      </c>
      <c r="F40" s="34" t="inlineStr">
        <is>
          <t>Un movimiento se distribuye entre varios destinos financieros.</t>
        </is>
      </c>
      <c r="G40" s="26" t="n">
        <v>0</v>
      </c>
      <c r="H40" s="26" t="n">
        <v>0</v>
      </c>
      <c r="I40" s="36">
        <f>IF($H40=1,preciosxhora!C$3,IF($H40=2,preciosxhora!C$4,IF($H40=3,preciosxhora!C$5,IF($H40=4,preciosxhora!C$6,0))))</f>
        <v/>
      </c>
      <c r="J40" s="36">
        <f>I40*G40</f>
        <v/>
      </c>
    </row>
    <row r="41" ht="16.4" customHeight="1" s="27">
      <c r="A41" s="24" t="inlineStr">
        <is>
          <t>B010</t>
        </is>
      </c>
      <c r="B41" s="24" t="inlineStr">
        <is>
          <t>Banco y conciliación</t>
        </is>
      </c>
      <c r="C41" s="24" t="inlineStr">
        <is>
          <t>MVP</t>
        </is>
      </c>
      <c r="D41" s="24" t="inlineStr">
        <is>
          <t>Integración</t>
        </is>
      </c>
      <c r="E41" s="33" t="inlineStr">
        <is>
          <t>Un movimiento paga varias facturas</t>
        </is>
      </c>
      <c r="F41" s="34" t="inlineStr">
        <is>
          <t>Distribución por monto sin exceder saldos ni movimiento.</t>
        </is>
      </c>
      <c r="G41" s="26" t="n">
        <v>0</v>
      </c>
      <c r="H41" s="26" t="n">
        <v>0</v>
      </c>
      <c r="I41" s="36">
        <f>IF($H41=1,preciosxhora!C$3,IF($H41=2,preciosxhora!C$4,IF($H41=3,preciosxhora!C$5,IF($H41=4,preciosxhora!C$6,0))))</f>
        <v/>
      </c>
      <c r="J41" s="36">
        <f>I41*G41</f>
        <v/>
      </c>
    </row>
    <row r="42" ht="16.4" customHeight="1" s="27">
      <c r="A42" s="24" t="inlineStr">
        <is>
          <t>B011</t>
        </is>
      </c>
      <c r="B42" s="24" t="inlineStr">
        <is>
          <t>Banco y conciliación</t>
        </is>
      </c>
      <c r="C42" s="24" t="inlineStr">
        <is>
          <t>MVP</t>
        </is>
      </c>
      <c r="D42" s="24" t="inlineStr">
        <is>
          <t>Backend</t>
        </is>
      </c>
      <c r="E42" s="33" t="inlineStr">
        <is>
          <t>Conciliación parcial</t>
        </is>
      </c>
      <c r="F42" s="34" t="inlineStr">
        <is>
          <t>Saldo aplicado, pendiente y estado calculado.</t>
        </is>
      </c>
      <c r="G42" s="26" t="n">
        <v>0</v>
      </c>
      <c r="H42" s="26" t="n">
        <v>0</v>
      </c>
      <c r="I42" s="36">
        <f>IF($H42=1,preciosxhora!C$3,IF($H42=2,preciosxhora!C$4,IF($H42=3,preciosxhora!C$5,IF($H42=4,preciosxhora!C$6,0))))</f>
        <v/>
      </c>
      <c r="J42" s="36">
        <f>I42*G42</f>
        <v/>
      </c>
    </row>
    <row r="43" ht="16.4" customHeight="1" s="27">
      <c r="A43" s="24" t="inlineStr">
        <is>
          <t>B012</t>
        </is>
      </c>
      <c r="B43" s="24" t="inlineStr">
        <is>
          <t>Banco y conciliación</t>
        </is>
      </c>
      <c r="C43" s="24" t="inlineStr">
        <is>
          <t>Fase 2</t>
        </is>
      </c>
      <c r="D43" s="24" t="inlineStr">
        <is>
          <t>Backend</t>
        </is>
      </c>
      <c r="E43" s="33" t="inlineStr">
        <is>
          <t>Reglas de cruce automático</t>
        </is>
      </c>
      <c r="F43" s="34" t="inlineStr">
        <is>
          <t>Coincidencia por monto, referencia, RUT y fecha.</t>
        </is>
      </c>
      <c r="G43" s="26" t="n">
        <v>0</v>
      </c>
      <c r="H43" s="26" t="n">
        <v>0</v>
      </c>
      <c r="I43" s="36">
        <f>IF($H43=1,preciosxhora!C$3,IF($H43=2,preciosxhora!C$4,IF($H43=3,preciosxhora!C$5,IF($H43=4,preciosxhora!C$6,0))))</f>
        <v/>
      </c>
      <c r="J43" s="36">
        <f>I43*G43</f>
        <v/>
      </c>
    </row>
    <row r="44" ht="16.4" customHeight="1" s="27">
      <c r="A44" s="24" t="inlineStr">
        <is>
          <t>B013</t>
        </is>
      </c>
      <c r="B44" s="24" t="inlineStr">
        <is>
          <t>Banco y conciliación</t>
        </is>
      </c>
      <c r="C44" s="24" t="inlineStr">
        <is>
          <t>MVP</t>
        </is>
      </c>
      <c r="D44" s="24" t="inlineStr">
        <is>
          <t>Frontend</t>
        </is>
      </c>
      <c r="E44" s="33" t="inlineStr">
        <is>
          <t>Cruce manual asistido</t>
        </is>
      </c>
      <c r="F44" s="34" t="inlineStr">
        <is>
          <t>Búsqueda y selección de operaciones candidatas.</t>
        </is>
      </c>
      <c r="G44" s="26" t="n">
        <v>0</v>
      </c>
      <c r="H44" s="26" t="n">
        <v>0</v>
      </c>
      <c r="I44" s="36">
        <f>IF($H44=1,preciosxhora!C$3,IF($H44=2,preciosxhora!C$4,IF($H44=3,preciosxhora!C$5,IF($H44=4,preciosxhora!C$6,0))))</f>
        <v/>
      </c>
      <c r="J44" s="36">
        <f>I44*G44</f>
        <v/>
      </c>
    </row>
    <row r="45" ht="16.4" customHeight="1" s="27">
      <c r="A45" s="24" t="inlineStr">
        <is>
          <t>B014</t>
        </is>
      </c>
      <c r="B45" s="24" t="inlineStr">
        <is>
          <t>Banco y conciliación</t>
        </is>
      </c>
      <c r="C45" s="24" t="inlineStr">
        <is>
          <t>MVP</t>
        </is>
      </c>
      <c r="D45" s="24" t="inlineStr">
        <is>
          <t>Integración</t>
        </is>
      </c>
      <c r="E45" s="33" t="inlineStr">
        <is>
          <t>Cruce con rendiciones y facturas</t>
        </is>
      </c>
      <c r="F45" s="34" t="inlineStr">
        <is>
          <t>Enlace con pagos, devoluciones, reembolsos y factoring.</t>
        </is>
      </c>
      <c r="G45" s="26" t="n">
        <v>0</v>
      </c>
      <c r="H45" s="26" t="n">
        <v>0</v>
      </c>
      <c r="I45" s="36">
        <f>IF($H45=1,preciosxhora!C$3,IF($H45=2,preciosxhora!C$4,IF($H45=3,preciosxhora!C$5,IF($H45=4,preciosxhora!C$6,0))))</f>
        <v/>
      </c>
      <c r="J45" s="36">
        <f>I45*G45</f>
        <v/>
      </c>
    </row>
    <row r="46" ht="16.4" customHeight="1" s="27">
      <c r="A46" s="24" t="inlineStr">
        <is>
          <t>B015</t>
        </is>
      </c>
      <c r="B46" s="24" t="inlineStr">
        <is>
          <t>Banco y conciliación</t>
        </is>
      </c>
      <c r="C46" s="24" t="inlineStr">
        <is>
          <t>MVP</t>
        </is>
      </c>
      <c r="D46" s="24" t="inlineStr">
        <is>
          <t>Backend</t>
        </is>
      </c>
      <c r="E46" s="33" t="inlineStr">
        <is>
          <t>Exclusiones justificadas</t>
        </is>
      </c>
      <c r="F46" s="34" t="inlineStr">
        <is>
          <t>Excluir sin perder auditoría ni alterar la cartola.</t>
        </is>
      </c>
      <c r="G46" s="26" t="n">
        <v>0</v>
      </c>
      <c r="H46" s="26" t="n">
        <v>0</v>
      </c>
      <c r="I46" s="36">
        <f>IF($H46=1,preciosxhora!C$3,IF($H46=2,preciosxhora!C$4,IF($H46=3,preciosxhora!C$5,IF($H46=4,preciosxhora!C$6,0))))</f>
        <v/>
      </c>
      <c r="J46" s="36">
        <f>I46*G46</f>
        <v/>
      </c>
    </row>
    <row r="47" ht="16.4" customHeight="1" s="27">
      <c r="A47" s="24" t="inlineStr">
        <is>
          <t>B016</t>
        </is>
      </c>
      <c r="B47" s="24" t="inlineStr">
        <is>
          <t>Banco y conciliación</t>
        </is>
      </c>
      <c r="C47" s="24" t="inlineStr">
        <is>
          <t>Fase 2</t>
        </is>
      </c>
      <c r="D47" s="24" t="inlineStr">
        <is>
          <t>Backend</t>
        </is>
      </c>
      <c r="E47" s="33" t="inlineStr">
        <is>
          <t>Reversas y reapertura</t>
        </is>
      </c>
      <c r="F47" s="34" t="inlineStr">
        <is>
          <t>Deshacer conciliación con motivo y permisos.</t>
        </is>
      </c>
      <c r="G47" s="26" t="n">
        <v>0</v>
      </c>
      <c r="H47" s="26" t="n">
        <v>0</v>
      </c>
      <c r="I47" s="36">
        <f>IF($H47=1,preciosxhora!C$3,IF($H47=2,preciosxhora!C$4,IF($H47=3,preciosxhora!C$5,IF($H47=4,preciosxhora!C$6,0))))</f>
        <v/>
      </c>
      <c r="J47" s="36">
        <f>I47*G47</f>
        <v/>
      </c>
    </row>
    <row r="48" ht="16.4" customHeight="1" s="27">
      <c r="A48" s="24" t="inlineStr">
        <is>
          <t>B017</t>
        </is>
      </c>
      <c r="B48" s="24" t="inlineStr">
        <is>
          <t>Banco y conciliación</t>
        </is>
      </c>
      <c r="C48" s="24" t="inlineStr">
        <is>
          <t>Fase 2</t>
        </is>
      </c>
      <c r="D48" s="24" t="inlineStr">
        <is>
          <t>Backend</t>
        </is>
      </c>
      <c r="E48" s="33" t="inlineStr">
        <is>
          <t>Cierre de período</t>
        </is>
      </c>
      <c r="F48" s="34" t="inlineStr">
        <is>
          <t>Bloqueo por cuenta y período con diferencias controladas.</t>
        </is>
      </c>
      <c r="G48" s="26" t="n">
        <v>0</v>
      </c>
      <c r="H48" s="26" t="n">
        <v>0</v>
      </c>
      <c r="I48" s="36">
        <f>IF($H48=1,preciosxhora!C$3,IF($H48=2,preciosxhora!C$4,IF($H48=3,preciosxhora!C$5,IF($H48=4,preciosxhora!C$6,0))))</f>
        <v/>
      </c>
      <c r="J48" s="36">
        <f>I48*G48</f>
        <v/>
      </c>
    </row>
    <row r="49" ht="16.4" customHeight="1" s="27">
      <c r="A49" s="24" t="inlineStr">
        <is>
          <t>B018</t>
        </is>
      </c>
      <c r="B49" s="24" t="inlineStr">
        <is>
          <t>Banco y conciliación</t>
        </is>
      </c>
      <c r="C49" s="24" t="inlineStr">
        <is>
          <t>Fase 2</t>
        </is>
      </c>
      <c r="D49" s="24" t="inlineStr">
        <is>
          <t>Frontend</t>
        </is>
      </c>
      <c r="E49" s="33" t="inlineStr">
        <is>
          <t>Dashboard de conciliación</t>
        </is>
      </c>
      <c r="F49" s="34" t="inlineStr">
        <is>
          <t>Pendientes, parciales, diferencias y antigüedad.</t>
        </is>
      </c>
      <c r="G49" s="26" t="n">
        <v>0</v>
      </c>
      <c r="H49" s="26" t="n">
        <v>0</v>
      </c>
      <c r="I49" s="36">
        <f>IF($H49=1,preciosxhora!C$3,IF($H49=2,preciosxhora!C$4,IF($H49=3,preciosxhora!C$5,IF($H49=4,preciosxhora!C$6,0))))</f>
        <v/>
      </c>
      <c r="J49" s="36">
        <f>I49*G49</f>
        <v/>
      </c>
    </row>
    <row r="50" ht="16.4" customHeight="1" s="27">
      <c r="A50" s="24" t="inlineStr">
        <is>
          <t>B019</t>
        </is>
      </c>
      <c r="B50" s="24" t="inlineStr">
        <is>
          <t>Banco y conciliación</t>
        </is>
      </c>
      <c r="C50" s="24" t="inlineStr">
        <is>
          <t>Fase 2</t>
        </is>
      </c>
      <c r="D50" s="24" t="inlineStr">
        <is>
          <t>Backend</t>
        </is>
      </c>
      <c r="E50" s="33" t="inlineStr">
        <is>
          <t>Alertas bancarias</t>
        </is>
      </c>
      <c r="F50" s="34" t="inlineStr">
        <is>
          <t>Duplicados, movimientos sin identificar y cierres pendientes.</t>
        </is>
      </c>
      <c r="G50" s="26" t="n">
        <v>0</v>
      </c>
      <c r="H50" s="26" t="n">
        <v>0</v>
      </c>
      <c r="I50" s="36">
        <f>IF($H50=1,preciosxhora!C$3,IF($H50=2,preciosxhora!C$4,IF($H50=3,preciosxhora!C$5,IF($H50=4,preciosxhora!C$6,0))))</f>
        <v/>
      </c>
      <c r="J50" s="36">
        <f>I50*G50</f>
        <v/>
      </c>
    </row>
    <row r="51" ht="16.4" customHeight="1" s="27">
      <c r="A51" s="24" t="inlineStr">
        <is>
          <t>B020</t>
        </is>
      </c>
      <c r="B51" s="24" t="inlineStr">
        <is>
          <t>Banco y conciliación</t>
        </is>
      </c>
      <c r="C51" s="24" t="inlineStr">
        <is>
          <t>Fase 2</t>
        </is>
      </c>
      <c r="D51" s="24" t="inlineStr">
        <is>
          <t>Frontend</t>
        </is>
      </c>
      <c r="E51" s="33" t="inlineStr">
        <is>
          <t>Reportes y exportación</t>
        </is>
      </c>
      <c r="F51" s="34" t="inlineStr">
        <is>
          <t>Conciliados, pendientes, diferencias y aplicaciones.</t>
        </is>
      </c>
      <c r="G51" s="26" t="n">
        <v>0</v>
      </c>
      <c r="H51" s="26" t="n">
        <v>0</v>
      </c>
      <c r="I51" s="36">
        <f>IF($H51=1,preciosxhora!C$3,IF($H51=2,preciosxhora!C$4,IF($H51=3,preciosxhora!C$5,IF($H51=4,preciosxhora!C$6,0))))</f>
        <v/>
      </c>
      <c r="J51" s="36">
        <f>I51*G51</f>
        <v/>
      </c>
    </row>
    <row r="52" ht="16.4" customHeight="1" s="27">
      <c r="A52" s="24" t="inlineStr">
        <is>
          <t>B021</t>
        </is>
      </c>
      <c r="B52" s="24" t="inlineStr">
        <is>
          <t>Banco y conciliación</t>
        </is>
      </c>
      <c r="C52" s="24" t="inlineStr">
        <is>
          <t>MVP</t>
        </is>
      </c>
      <c r="D52" s="24" t="inlineStr">
        <is>
          <t>QA</t>
        </is>
      </c>
      <c r="E52" s="33" t="inlineStr">
        <is>
          <t>Pruebas de conciliación</t>
        </is>
      </c>
      <c r="F52" s="34" t="inlineStr">
        <is>
          <t>Casos parciales, múltiples, duplicados y reversas.</t>
        </is>
      </c>
      <c r="G52" s="26" t="n">
        <v>0</v>
      </c>
      <c r="H52" s="26" t="n">
        <v>0</v>
      </c>
      <c r="I52" s="36">
        <f>IF($H52=1,preciosxhora!C$3,IF($H52=2,preciosxhora!C$4,IF($H52=3,preciosxhora!C$5,IF($H52=4,preciosxhora!C$6,0))))</f>
        <v/>
      </c>
      <c r="J52" s="36">
        <f>I52*G52</f>
        <v/>
      </c>
    </row>
    <row r="53" ht="16.4" customHeight="1" s="27">
      <c r="A53" s="24" t="inlineStr">
        <is>
          <t>F001</t>
        </is>
      </c>
      <c r="B53" s="24" t="inlineStr">
        <is>
          <t>Facturación y cobranza</t>
        </is>
      </c>
      <c r="C53" s="24" t="inlineStr">
        <is>
          <t>MVP</t>
        </is>
      </c>
      <c r="D53" s="24" t="inlineStr">
        <is>
          <t>Integración</t>
        </is>
      </c>
      <c r="E53" s="33" t="inlineStr">
        <is>
          <t>Clientes y contactos</t>
        </is>
      </c>
      <c r="F53" s="34" t="inlineStr">
        <is>
          <t>Reutiliza maestros existentes y conserva contacto histórico.</t>
        </is>
      </c>
      <c r="G53" s="26" t="n">
        <v>0</v>
      </c>
      <c r="H53" s="26" t="n">
        <v>0</v>
      </c>
      <c r="I53" s="36">
        <f>IF($H53=1,preciosxhora!C$3,IF($H53=2,preciosxhora!C$4,IF($H53=3,preciosxhora!C$5,IF($H53=4,preciosxhora!C$6,0))))</f>
        <v/>
      </c>
      <c r="J53" s="36">
        <f>I53*G53</f>
        <v/>
      </c>
    </row>
    <row r="54" ht="16.4" customHeight="1" s="27">
      <c r="A54" s="24" t="inlineStr">
        <is>
          <t>F002</t>
        </is>
      </c>
      <c r="B54" s="24" t="inlineStr">
        <is>
          <t>Facturación y cobranza</t>
        </is>
      </c>
      <c r="C54" s="24" t="inlineStr">
        <is>
          <t>MVP</t>
        </is>
      </c>
      <c r="D54" s="24" t="inlineStr">
        <is>
          <t>Backend</t>
        </is>
      </c>
      <c r="E54" s="33" t="inlineStr">
        <is>
          <t>Registro o importación de facturas</t>
        </is>
      </c>
      <c r="F54" s="34" t="inlineStr">
        <is>
          <t>Número, fechas, OC, montos e impuestos validados.</t>
        </is>
      </c>
      <c r="G54" s="26" t="n">
        <v>0</v>
      </c>
      <c r="H54" s="26" t="n">
        <v>0</v>
      </c>
      <c r="I54" s="36">
        <f>IF($H54=1,preciosxhora!C$3,IF($H54=2,preciosxhora!C$4,IF($H54=3,preciosxhora!C$5,IF($H54=4,preciosxhora!C$6,0))))</f>
        <v/>
      </c>
      <c r="J54" s="36">
        <f>I54*G54</f>
        <v/>
      </c>
    </row>
    <row r="55" ht="16.4" customHeight="1" s="27">
      <c r="A55" s="24" t="inlineStr">
        <is>
          <t>F003</t>
        </is>
      </c>
      <c r="B55" s="24" t="inlineStr">
        <is>
          <t>Facturación y cobranza</t>
        </is>
      </c>
      <c r="C55" s="24" t="inlineStr">
        <is>
          <t>MVP</t>
        </is>
      </c>
      <c r="D55" s="24" t="inlineStr">
        <is>
          <t>Frontend</t>
        </is>
      </c>
      <c r="E55" s="33" t="inlineStr">
        <is>
          <t>Lista de facturas</t>
        </is>
      </c>
      <c r="F55" s="34" t="inlineStr">
        <is>
          <t>Filtros por cliente, estado, vencimiento y factoring.</t>
        </is>
      </c>
      <c r="G55" s="26" t="n">
        <v>0</v>
      </c>
      <c r="H55" s="26" t="n">
        <v>0</v>
      </c>
      <c r="I55" s="36">
        <f>IF($H55=1,preciosxhora!C$3,IF($H55=2,preciosxhora!C$4,IF($H55=3,preciosxhora!C$5,IF($H55=4,preciosxhora!C$6,0))))</f>
        <v/>
      </c>
      <c r="J55" s="36">
        <f>I55*G55</f>
        <v/>
      </c>
    </row>
    <row r="56" ht="16.4" customHeight="1" s="27">
      <c r="A56" s="24" t="inlineStr">
        <is>
          <t>F004</t>
        </is>
      </c>
      <c r="B56" s="24" t="inlineStr">
        <is>
          <t>Facturación y cobranza</t>
        </is>
      </c>
      <c r="C56" s="24" t="inlineStr">
        <is>
          <t>MVP</t>
        </is>
      </c>
      <c r="D56" s="24" t="inlineStr">
        <is>
          <t>Backend</t>
        </is>
      </c>
      <c r="E56" s="33" t="inlineStr">
        <is>
          <t>Estado calculado de cobranza</t>
        </is>
      </c>
      <c r="F56" s="34" t="inlineStr">
        <is>
          <t>Pendiente, parcial, pagada, vencida, cedida o anulada.</t>
        </is>
      </c>
      <c r="G56" s="26" t="n">
        <v>0</v>
      </c>
      <c r="H56" s="26" t="n">
        <v>0</v>
      </c>
      <c r="I56" s="36">
        <f>IF($H56=1,preciosxhora!C$3,IF($H56=2,preciosxhora!C$4,IF($H56=3,preciosxhora!C$5,IF($H56=4,preciosxhora!C$6,0))))</f>
        <v/>
      </c>
      <c r="J56" s="36">
        <f>I56*G56</f>
        <v/>
      </c>
    </row>
    <row r="57" ht="16.4" customHeight="1" s="27">
      <c r="A57" s="24" t="inlineStr">
        <is>
          <t>F005</t>
        </is>
      </c>
      <c r="B57" s="24" t="inlineStr">
        <is>
          <t>Facturación y cobranza</t>
        </is>
      </c>
      <c r="C57" s="24" t="inlineStr">
        <is>
          <t>MVP</t>
        </is>
      </c>
      <c r="D57" s="24" t="inlineStr">
        <is>
          <t>Backend</t>
        </is>
      </c>
      <c r="E57" s="33" t="inlineStr">
        <is>
          <t>Registro de pagos de clientes</t>
        </is>
      </c>
      <c r="F57" s="34" t="inlineStr">
        <is>
          <t>Receptor, medio, fecha, monto y referencia.</t>
        </is>
      </c>
      <c r="G57" s="26" t="n">
        <v>0</v>
      </c>
      <c r="H57" s="26" t="n">
        <v>0</v>
      </c>
      <c r="I57" s="36">
        <f>IF($H57=1,preciosxhora!C$3,IF($H57=2,preciosxhora!C$4,IF($H57=3,preciosxhora!C$5,IF($H57=4,preciosxhora!C$6,0))))</f>
        <v/>
      </c>
      <c r="J57" s="36">
        <f>I57*G57</f>
        <v/>
      </c>
    </row>
    <row r="58" ht="16.4" customHeight="1" s="27">
      <c r="A58" s="24" t="inlineStr">
        <is>
          <t>F006</t>
        </is>
      </c>
      <c r="B58" s="24" t="inlineStr">
        <is>
          <t>Facturación y cobranza</t>
        </is>
      </c>
      <c r="C58" s="24" t="inlineStr">
        <is>
          <t>MVP</t>
        </is>
      </c>
      <c r="D58" s="24" t="inlineStr">
        <is>
          <t>Backend</t>
        </is>
      </c>
      <c r="E58" s="33" t="inlineStr">
        <is>
          <t>Aplicación de pago a varias facturas</t>
        </is>
      </c>
      <c r="F58" s="34" t="inlineStr">
        <is>
          <t>Un pago se distribuye sin exceder el monto disponible.</t>
        </is>
      </c>
      <c r="G58" s="26" t="n">
        <v>0</v>
      </c>
      <c r="H58" s="26" t="n">
        <v>0</v>
      </c>
      <c r="I58" s="36">
        <f>IF($H58=1,preciosxhora!C$3,IF($H58=2,preciosxhora!C$4,IF($H58=3,preciosxhora!C$5,IF($H58=4,preciosxhora!C$6,0))))</f>
        <v/>
      </c>
      <c r="J58" s="36">
        <f>I58*G58</f>
        <v/>
      </c>
    </row>
    <row r="59" ht="16.4" customHeight="1" s="27">
      <c r="A59" s="24" t="inlineStr">
        <is>
          <t>F007</t>
        </is>
      </c>
      <c r="B59" s="24" t="inlineStr">
        <is>
          <t>Facturación y cobranza</t>
        </is>
      </c>
      <c r="C59" s="24" t="inlineStr">
        <is>
          <t>MVP</t>
        </is>
      </c>
      <c r="D59" s="24" t="inlineStr">
        <is>
          <t>Backend</t>
        </is>
      </c>
      <c r="E59" s="33" t="inlineStr">
        <is>
          <t>Pagos parciales y múltiples</t>
        </is>
      </c>
      <c r="F59" s="34" t="inlineStr">
        <is>
          <t>Una factura admite varios pagos y saldo pendiente.</t>
        </is>
      </c>
      <c r="G59" s="26" t="n">
        <v>0</v>
      </c>
      <c r="H59" s="26" t="n">
        <v>0</v>
      </c>
      <c r="I59" s="36">
        <f>IF($H59=1,preciosxhora!C$3,IF($H59=2,preciosxhora!C$4,IF($H59=3,preciosxhora!C$5,IF($H59=4,preciosxhora!C$6,0))))</f>
        <v/>
      </c>
      <c r="J59" s="36">
        <f>I59*G59</f>
        <v/>
      </c>
    </row>
    <row r="60" ht="16.4" customHeight="1" s="27">
      <c r="A60" s="24" t="inlineStr">
        <is>
          <t>F008</t>
        </is>
      </c>
      <c r="B60" s="24" t="inlineStr">
        <is>
          <t>Facturación y cobranza</t>
        </is>
      </c>
      <c r="C60" s="24" t="inlineStr">
        <is>
          <t>MVP</t>
        </is>
      </c>
      <c r="D60" s="24" t="inlineStr">
        <is>
          <t>Backend</t>
        </is>
      </c>
      <c r="E60" s="33" t="inlineStr">
        <is>
          <t>Excedentes y pagos sin aplicar</t>
        </is>
      </c>
      <c r="F60" s="34" t="inlineStr">
        <is>
          <t>Saldo no aplicado visible y regularizable.</t>
        </is>
      </c>
      <c r="G60" s="26" t="n">
        <v>0</v>
      </c>
      <c r="H60" s="26" t="n">
        <v>0</v>
      </c>
      <c r="I60" s="36">
        <f>IF($H60=1,preciosxhora!C$3,IF($H60=2,preciosxhora!C$4,IF($H60=3,preciosxhora!C$5,IF($H60=4,preciosxhora!C$6,0))))</f>
        <v/>
      </c>
      <c r="J60" s="36">
        <f>I60*G60</f>
        <v/>
      </c>
    </row>
    <row r="61" ht="16.4" customHeight="1" s="27">
      <c r="A61" s="24" t="inlineStr">
        <is>
          <t>F009</t>
        </is>
      </c>
      <c r="B61" s="24" t="inlineStr">
        <is>
          <t>Facturación y cobranza</t>
        </is>
      </c>
      <c r="C61" s="24" t="inlineStr">
        <is>
          <t>MVP</t>
        </is>
      </c>
      <c r="D61" s="24" t="inlineStr">
        <is>
          <t>Integración</t>
        </is>
      </c>
      <c r="E61" s="33" t="inlineStr">
        <is>
          <t>Vinculación con cartola bancaria</t>
        </is>
      </c>
      <c r="F61" s="34" t="inlineStr">
        <is>
          <t>Pago conciliable con uno o más movimientos.</t>
        </is>
      </c>
      <c r="G61" s="26" t="n">
        <v>0</v>
      </c>
      <c r="H61" s="26" t="n">
        <v>0</v>
      </c>
      <c r="I61" s="36">
        <f>IF($H61=1,preciosxhora!C$3,IF($H61=2,preciosxhora!C$4,IF($H61=3,preciosxhora!C$5,IF($H61=4,preciosxhora!C$6,0))))</f>
        <v/>
      </c>
      <c r="J61" s="36">
        <f>I61*G61</f>
        <v/>
      </c>
    </row>
    <row r="62" ht="16.4" customHeight="1" s="27">
      <c r="A62" s="24" t="inlineStr">
        <is>
          <t>F010</t>
        </is>
      </c>
      <c r="B62" s="24" t="inlineStr">
        <is>
          <t>Facturación y cobranza</t>
        </is>
      </c>
      <c r="C62" s="24" t="inlineStr">
        <is>
          <t>Fase 2</t>
        </is>
      </c>
      <c r="D62" s="24" t="inlineStr">
        <is>
          <t>Frontend</t>
        </is>
      </c>
      <c r="E62" s="33" t="inlineStr">
        <is>
          <t>Gestión de cobranza</t>
        </is>
      </c>
      <c r="F62" s="34" t="inlineStr">
        <is>
          <t>Llamadas, correos, respuestas y próximo seguimiento.</t>
        </is>
      </c>
      <c r="G62" s="26" t="n">
        <v>0</v>
      </c>
      <c r="H62" s="26" t="n">
        <v>0</v>
      </c>
      <c r="I62" s="36">
        <f>IF($H62=1,preciosxhora!C$3,IF($H62=2,preciosxhora!C$4,IF($H62=3,preciosxhora!C$5,IF($H62=4,preciosxhora!C$6,0))))</f>
        <v/>
      </c>
      <c r="J62" s="36">
        <f>I62*G62</f>
        <v/>
      </c>
    </row>
    <row r="63" ht="16.4" customHeight="1" s="27">
      <c r="A63" s="24" t="inlineStr">
        <is>
          <t>F011</t>
        </is>
      </c>
      <c r="B63" s="24" t="inlineStr">
        <is>
          <t>Facturación y cobranza</t>
        </is>
      </c>
      <c r="C63" s="24" t="inlineStr">
        <is>
          <t>Fase 2</t>
        </is>
      </c>
      <c r="D63" s="24" t="inlineStr">
        <is>
          <t>Backend</t>
        </is>
      </c>
      <c r="E63" s="33" t="inlineStr">
        <is>
          <t>Alertas de vencimiento</t>
        </is>
      </c>
      <c r="F63" s="34" t="inlineStr">
        <is>
          <t>Avisos por antigüedad, promesas y falta de respuesta.</t>
        </is>
      </c>
      <c r="G63" s="26" t="n">
        <v>0</v>
      </c>
      <c r="H63" s="26" t="n">
        <v>0</v>
      </c>
      <c r="I63" s="36">
        <f>IF($H63=1,preciosxhora!C$3,IF($H63=2,preciosxhora!C$4,IF($H63=3,preciosxhora!C$5,IF($H63=4,preciosxhora!C$6,0))))</f>
        <v/>
      </c>
      <c r="J63" s="36">
        <f>I63*G63</f>
        <v/>
      </c>
    </row>
    <row r="64" ht="16.4" customHeight="1" s="27">
      <c r="A64" s="24" t="inlineStr">
        <is>
          <t>F012</t>
        </is>
      </c>
      <c r="B64" s="24" t="inlineStr">
        <is>
          <t>Facturación y cobranza</t>
        </is>
      </c>
      <c r="C64" s="24" t="inlineStr">
        <is>
          <t>Fase 2</t>
        </is>
      </c>
      <c r="D64" s="24" t="inlineStr">
        <is>
          <t>Frontend</t>
        </is>
      </c>
      <c r="E64" s="33" t="inlineStr">
        <is>
          <t>Antigüedad de saldos</t>
        </is>
      </c>
      <c r="F64" s="34" t="inlineStr">
        <is>
          <t>Tramos de vencimiento y cartera por cliente.</t>
        </is>
      </c>
      <c r="G64" s="26" t="n">
        <v>0</v>
      </c>
      <c r="H64" s="26" t="n">
        <v>0</v>
      </c>
      <c r="I64" s="36">
        <f>IF($H64=1,preciosxhora!C$3,IF($H64=2,preciosxhora!C$4,IF($H64=3,preciosxhora!C$5,IF($H64=4,preciosxhora!C$6,0))))</f>
        <v/>
      </c>
      <c r="J64" s="36">
        <f>I64*G64</f>
        <v/>
      </c>
    </row>
    <row r="65" ht="16.4" customHeight="1" s="27">
      <c r="A65" s="24" t="inlineStr">
        <is>
          <t>F013</t>
        </is>
      </c>
      <c r="B65" s="24" t="inlineStr">
        <is>
          <t>Facturación y cobranza</t>
        </is>
      </c>
      <c r="C65" s="24" t="inlineStr">
        <is>
          <t>Fase 2</t>
        </is>
      </c>
      <c r="D65" s="24" t="inlineStr">
        <is>
          <t>Frontend</t>
        </is>
      </c>
      <c r="E65" s="33" t="inlineStr">
        <is>
          <t>Reportes y exportación</t>
        </is>
      </c>
      <c r="F65" s="34" t="inlineStr">
        <is>
          <t>Pagadas, pendientes, parciales y vencidas.</t>
        </is>
      </c>
      <c r="G65" s="26" t="n">
        <v>0</v>
      </c>
      <c r="H65" s="26" t="n">
        <v>0</v>
      </c>
      <c r="I65" s="36">
        <f>IF($H65=1,preciosxhora!C$3,IF($H65=2,preciosxhora!C$4,IF($H65=3,preciosxhora!C$5,IF($H65=4,preciosxhora!C$6,0))))</f>
        <v/>
      </c>
      <c r="J65" s="36">
        <f>I65*G65</f>
        <v/>
      </c>
    </row>
    <row r="66" ht="16.4" customHeight="1" s="27">
      <c r="A66" s="24" t="inlineStr">
        <is>
          <t>F014</t>
        </is>
      </c>
      <c r="B66" s="24" t="inlineStr">
        <is>
          <t>Facturación y cobranza</t>
        </is>
      </c>
      <c r="C66" s="24" t="inlineStr">
        <is>
          <t>MVP</t>
        </is>
      </c>
      <c r="D66" s="24" t="inlineStr">
        <is>
          <t>QA</t>
        </is>
      </c>
      <c r="E66" s="33" t="inlineStr">
        <is>
          <t>Pruebas de facturación y pagos</t>
        </is>
      </c>
      <c r="F66" s="34" t="inlineStr">
        <is>
          <t>Pagos múltiples, parciales, excedentes y anulaciones.</t>
        </is>
      </c>
      <c r="G66" s="26" t="n">
        <v>0</v>
      </c>
      <c r="H66" s="26" t="n">
        <v>0</v>
      </c>
      <c r="I66" s="36">
        <f>IF($H66=1,preciosxhora!C$3,IF($H66=2,preciosxhora!C$4,IF($H66=3,preciosxhora!C$5,IF($H66=4,preciosxhora!C$6,0))))</f>
        <v/>
      </c>
      <c r="J66" s="36">
        <f>I66*G66</f>
        <v/>
      </c>
    </row>
    <row r="67" ht="16.4" customHeight="1" s="27">
      <c r="A67" s="24" t="inlineStr">
        <is>
          <t>X001</t>
        </is>
      </c>
      <c r="B67" s="24" t="inlineStr">
        <is>
          <t>Factoring</t>
        </is>
      </c>
      <c r="C67" s="24" t="inlineStr">
        <is>
          <t>MVP</t>
        </is>
      </c>
      <c r="D67" s="24" t="inlineStr">
        <is>
          <t>Backend</t>
        </is>
      </c>
      <c r="E67" s="33" t="inlineStr">
        <is>
          <t>Empresas de factoring</t>
        </is>
      </c>
      <c r="F67" s="34" t="inlineStr">
        <is>
          <t>Catálogo, contactos y condiciones.</t>
        </is>
      </c>
      <c r="G67" s="26" t="n">
        <v>0</v>
      </c>
      <c r="H67" s="26" t="n">
        <v>0</v>
      </c>
      <c r="I67" s="36">
        <f>IF($H67=1,preciosxhora!C$3,IF($H67=2,preciosxhora!C$4,IF($H67=3,preciosxhora!C$5,IF($H67=4,preciosxhora!C$6,0))))</f>
        <v/>
      </c>
      <c r="J67" s="36">
        <f>I67*G67</f>
        <v/>
      </c>
    </row>
    <row r="68" ht="16.4" customHeight="1" s="27">
      <c r="A68" s="24" t="inlineStr">
        <is>
          <t>X002</t>
        </is>
      </c>
      <c r="B68" s="24" t="inlineStr">
        <is>
          <t>Factoring</t>
        </is>
      </c>
      <c r="C68" s="24" t="inlineStr">
        <is>
          <t>MVP</t>
        </is>
      </c>
      <c r="D68" s="24" t="inlineStr">
        <is>
          <t>Backend</t>
        </is>
      </c>
      <c r="E68" s="33" t="inlineStr">
        <is>
          <t>Operación de factoring</t>
        </is>
      </c>
      <c r="F68" s="34" t="inlineStr">
        <is>
          <t>Cesión, vencimiento, recurso y montos contratados.</t>
        </is>
      </c>
      <c r="G68" s="26" t="n">
        <v>0</v>
      </c>
      <c r="H68" s="26" t="n">
        <v>0</v>
      </c>
      <c r="I68" s="36">
        <f>IF($H68=1,preciosxhora!C$3,IF($H68=2,preciosxhora!C$4,IF($H68=3,preciosxhora!C$5,IF($H68=4,preciosxhora!C$6,0))))</f>
        <v/>
      </c>
      <c r="J68" s="36">
        <f>I68*G68</f>
        <v/>
      </c>
    </row>
    <row r="69" ht="16.4" customHeight="1" s="27">
      <c r="A69" s="24" t="inlineStr">
        <is>
          <t>X003</t>
        </is>
      </c>
      <c r="B69" s="24" t="inlineStr">
        <is>
          <t>Factoring</t>
        </is>
      </c>
      <c r="C69" s="24" t="inlineStr">
        <is>
          <t>MVP</t>
        </is>
      </c>
      <c r="D69" s="24" t="inlineStr">
        <is>
          <t>Backend</t>
        </is>
      </c>
      <c r="E69" s="33" t="inlineStr">
        <is>
          <t>Estados y eventos de factoring</t>
        </is>
      </c>
      <c r="F69" s="34" t="inlineStr">
        <is>
          <t>Historial de cesión, mora, pago y liquidación.</t>
        </is>
      </c>
      <c r="G69" s="26" t="n">
        <v>0</v>
      </c>
      <c r="H69" s="26" t="n">
        <v>0</v>
      </c>
      <c r="I69" s="36">
        <f>IF($H69=1,preciosxhora!C$3,IF($H69=2,preciosxhora!C$4,IF($H69=3,preciosxhora!C$5,IF($H69=4,preciosxhora!C$6,0))))</f>
        <v/>
      </c>
      <c r="J69" s="36">
        <f>I69*G69</f>
        <v/>
      </c>
    </row>
    <row r="70" ht="16.4" customHeight="1" s="27">
      <c r="A70" s="24" t="inlineStr">
        <is>
          <t>X004</t>
        </is>
      </c>
      <c r="B70" s="24" t="inlineStr">
        <is>
          <t>Factoring</t>
        </is>
      </c>
      <c r="C70" s="24" t="inlineStr">
        <is>
          <t>MVP</t>
        </is>
      </c>
      <c r="D70" s="24" t="inlineStr">
        <is>
          <t>Backend</t>
        </is>
      </c>
      <c r="E70" s="33" t="inlineStr">
        <is>
          <t>Flujos de anticipo y comisión</t>
        </is>
      </c>
      <c r="F70" s="34" t="inlineStr">
        <is>
          <t>Anticipo, comisión, retención y liquidación separados.</t>
        </is>
      </c>
      <c r="G70" s="26" t="n">
        <v>0</v>
      </c>
      <c r="H70" s="26" t="n">
        <v>0</v>
      </c>
      <c r="I70" s="36">
        <f>IF($H70=1,preciosxhora!C$3,IF($H70=2,preciosxhora!C$4,IF($H70=3,preciosxhora!C$5,IF($H70=4,preciosxhora!C$6,0))))</f>
        <v/>
      </c>
      <c r="J70" s="36">
        <f>I70*G70</f>
        <v/>
      </c>
    </row>
    <row r="71" ht="16.4" customHeight="1" s="27">
      <c r="A71" s="24" t="inlineStr">
        <is>
          <t>X005</t>
        </is>
      </c>
      <c r="B71" s="24" t="inlineStr">
        <is>
          <t>Factoring</t>
        </is>
      </c>
      <c r="C71" s="24" t="inlineStr">
        <is>
          <t>MVP</t>
        </is>
      </c>
      <c r="D71" s="24" t="inlineStr">
        <is>
          <t>Backend</t>
        </is>
      </c>
      <c r="E71" s="33" t="inlineStr">
        <is>
          <t>Confirmación de pago al factor</t>
        </is>
      </c>
      <c r="F71" s="34" t="inlineStr">
        <is>
          <t>Pago del cliente al factor sin ingreso bancario en Extintores Real.</t>
        </is>
      </c>
      <c r="G71" s="26" t="n">
        <v>0</v>
      </c>
      <c r="H71" s="26" t="n">
        <v>0</v>
      </c>
      <c r="I71" s="36">
        <f>IF($H71=1,preciosxhora!C$3,IF($H71=2,preciosxhora!C$4,IF($H71=3,preciosxhora!C$5,IF($H71=4,preciosxhora!C$6,0))))</f>
        <v/>
      </c>
      <c r="J71" s="36">
        <f>I71*G71</f>
        <v/>
      </c>
    </row>
    <row r="72" ht="16.4" customHeight="1" s="27">
      <c r="A72" s="24" t="inlineStr">
        <is>
          <t>X006</t>
        </is>
      </c>
      <c r="B72" s="24" t="inlineStr">
        <is>
          <t>Factoring</t>
        </is>
      </c>
      <c r="C72" s="24" t="inlineStr">
        <is>
          <t>MVP</t>
        </is>
      </c>
      <c r="D72" s="24" t="inlineStr">
        <is>
          <t>Backend</t>
        </is>
      </c>
      <c r="E72" s="33" t="inlineStr">
        <is>
          <t>Alertas de mora en factoring</t>
        </is>
      </c>
      <c r="F72" s="34" t="inlineStr">
        <is>
          <t>Vencimiento sin pago y seguimiento al cliente.</t>
        </is>
      </c>
      <c r="G72" s="26" t="n">
        <v>0</v>
      </c>
      <c r="H72" s="26" t="n">
        <v>0</v>
      </c>
      <c r="I72" s="36">
        <f>IF($H72=1,preciosxhora!C$3,IF($H72=2,preciosxhora!C$4,IF($H72=3,preciosxhora!C$5,IF($H72=4,preciosxhora!C$6,0))))</f>
        <v/>
      </c>
      <c r="J72" s="36">
        <f>I72*G72</f>
        <v/>
      </c>
    </row>
    <row r="73" ht="16.4" customHeight="1" s="27">
      <c r="A73" s="24" t="inlineStr">
        <is>
          <t>X007</t>
        </is>
      </c>
      <c r="B73" s="24" t="inlineStr">
        <is>
          <t>Factoring</t>
        </is>
      </c>
      <c r="C73" s="24" t="inlineStr">
        <is>
          <t>MVP</t>
        </is>
      </c>
      <c r="D73" s="24" t="inlineStr">
        <is>
          <t>Backend</t>
        </is>
      </c>
      <c r="E73" s="33" t="inlineStr">
        <is>
          <t>Notificación y cobro con recurso</t>
        </is>
      </c>
      <c r="F73" s="34" t="inlineStr">
        <is>
          <t>Registro de deuda reclamada a Extintores Real.</t>
        </is>
      </c>
      <c r="G73" s="26" t="n">
        <v>0</v>
      </c>
      <c r="H73" s="26" t="n">
        <v>0</v>
      </c>
      <c r="I73" s="36">
        <f>IF($H73=1,preciosxhora!C$3,IF($H73=2,preciosxhora!C$4,IF($H73=3,preciosxhora!C$5,IF($H73=4,preciosxhora!C$6,0))))</f>
        <v/>
      </c>
      <c r="J73" s="36">
        <f>I73*G73</f>
        <v/>
      </c>
    </row>
    <row r="74" ht="16.4" customHeight="1" s="27">
      <c r="A74" s="24" t="inlineStr">
        <is>
          <t>X008</t>
        </is>
      </c>
      <c r="B74" s="24" t="inlineStr">
        <is>
          <t>Factoring</t>
        </is>
      </c>
      <c r="C74" s="24" t="inlineStr">
        <is>
          <t>MVP</t>
        </is>
      </c>
      <c r="D74" s="24" t="inlineStr">
        <is>
          <t>Integración</t>
        </is>
      </c>
      <c r="E74" s="33" t="inlineStr">
        <is>
          <t>Detectar pago directo de factura cedida</t>
        </is>
      </c>
      <c r="F74" s="34" t="inlineStr">
        <is>
          <t>Ingreso en banco de ER genera alerta crítica y no salda el factoring.</t>
        </is>
      </c>
      <c r="G74" s="26" t="n">
        <v>0</v>
      </c>
      <c r="H74" s="26" t="n">
        <v>0</v>
      </c>
      <c r="I74" s="36">
        <f>IF($H74=1,preciosxhora!C$3,IF($H74=2,preciosxhora!C$4,IF($H74=3,preciosxhora!C$5,IF($H74=4,preciosxhora!C$6,0))))</f>
        <v/>
      </c>
      <c r="J74" s="36">
        <f>I74*G74</f>
        <v/>
      </c>
    </row>
    <row r="75" ht="16.4" customHeight="1" s="27">
      <c r="A75" s="24" t="inlineStr">
        <is>
          <t>X009</t>
        </is>
      </c>
      <c r="B75" s="24" t="inlineStr">
        <is>
          <t>Factoring</t>
        </is>
      </c>
      <c r="C75" s="24" t="inlineStr">
        <is>
          <t>MVP</t>
        </is>
      </c>
      <c r="D75" s="24" t="inlineStr">
        <is>
          <t>Backend</t>
        </is>
      </c>
      <c r="E75" s="33" t="inlineStr">
        <is>
          <t>Proceso de devolución al cliente</t>
        </is>
      </c>
      <c r="F75" s="34" t="inlineStr">
        <is>
          <t>Solicitud, aprobación, egreso y cierre.</t>
        </is>
      </c>
      <c r="G75" s="26" t="n">
        <v>0</v>
      </c>
      <c r="H75" s="26" t="n">
        <v>0</v>
      </c>
      <c r="I75" s="36">
        <f>IF($H75=1,preciosxhora!C$3,IF($H75=2,preciosxhora!C$4,IF($H75=3,preciosxhora!C$5,IF($H75=4,preciosxhora!C$6,0))))</f>
        <v/>
      </c>
      <c r="J75" s="36">
        <f>I75*G75</f>
        <v/>
      </c>
    </row>
    <row r="76" ht="16.4" customHeight="1" s="27">
      <c r="A76" s="24" t="inlineStr">
        <is>
          <t>X010</t>
        </is>
      </c>
      <c r="B76" s="24" t="inlineStr">
        <is>
          <t>Factoring</t>
        </is>
      </c>
      <c r="C76" s="24" t="inlineStr">
        <is>
          <t>MVP</t>
        </is>
      </c>
      <c r="D76" s="24" t="inlineStr">
        <is>
          <t>Integración</t>
        </is>
      </c>
      <c r="E76" s="33" t="inlineStr">
        <is>
          <t>Conciliar devolución bancaria</t>
        </is>
      </c>
      <c r="F76" s="34" t="inlineStr">
        <is>
          <t>Egreso enlazado al pago erróneo y a su devolución.</t>
        </is>
      </c>
      <c r="G76" s="26" t="n">
        <v>0</v>
      </c>
      <c r="H76" s="26" t="n">
        <v>0</v>
      </c>
      <c r="I76" s="36">
        <f>IF($H76=1,preciosxhora!C$3,IF($H76=2,preciosxhora!C$4,IF($H76=3,preciosxhora!C$5,IF($H76=4,preciosxhora!C$6,0))))</f>
        <v/>
      </c>
      <c r="J76" s="36">
        <f>I76*G76</f>
        <v/>
      </c>
    </row>
    <row r="77" ht="16.4" customHeight="1" s="27">
      <c r="A77" s="24" t="inlineStr">
        <is>
          <t>X011</t>
        </is>
      </c>
      <c r="B77" s="24" t="inlineStr">
        <is>
          <t>Factoring</t>
        </is>
      </c>
      <c r="C77" s="24" t="inlineStr">
        <is>
          <t>MVP</t>
        </is>
      </c>
      <c r="D77" s="24" t="inlineStr">
        <is>
          <t>Integración</t>
        </is>
      </c>
      <c r="E77" s="33" t="inlineStr">
        <is>
          <t>Conciliar liquidación del factor</t>
        </is>
      </c>
      <c r="F77" s="34" t="inlineStr">
        <is>
          <t>Anticipos y liquidaciones enlazados con la cartola.</t>
        </is>
      </c>
      <c r="G77" s="26" t="n">
        <v>0</v>
      </c>
      <c r="H77" s="26" t="n">
        <v>0</v>
      </c>
      <c r="I77" s="36">
        <f>IF($H77=1,preciosxhora!C$3,IF($H77=2,preciosxhora!C$4,IF($H77=3,preciosxhora!C$5,IF($H77=4,preciosxhora!C$6,0))))</f>
        <v/>
      </c>
      <c r="J77" s="36">
        <f>I77*G77</f>
        <v/>
      </c>
    </row>
    <row r="78" ht="16.4" customHeight="1" s="27">
      <c r="A78" s="24" t="inlineStr">
        <is>
          <t>X012</t>
        </is>
      </c>
      <c r="B78" s="24" t="inlineStr">
        <is>
          <t>Factoring</t>
        </is>
      </c>
      <c r="C78" s="24" t="inlineStr">
        <is>
          <t>Fase 2</t>
        </is>
      </c>
      <c r="D78" s="24" t="inlineStr">
        <is>
          <t>Frontend</t>
        </is>
      </c>
      <c r="E78" s="33" t="inlineStr">
        <is>
          <t>Reportes de factoring</t>
        </is>
      </c>
      <c r="F78" s="34" t="inlineStr">
        <is>
          <t>Cedidas, en mora, recaudadas, por liquidar y con recurso.</t>
        </is>
      </c>
      <c r="G78" s="26" t="n">
        <v>0</v>
      </c>
      <c r="H78" s="26" t="n">
        <v>0</v>
      </c>
      <c r="I78" s="36">
        <f>IF($H78=1,preciosxhora!C$3,IF($H78=2,preciosxhora!C$4,IF($H78=3,preciosxhora!C$5,IF($H78=4,preciosxhora!C$6,0))))</f>
        <v/>
      </c>
      <c r="J78" s="36">
        <f>I78*G78</f>
        <v/>
      </c>
    </row>
    <row r="79" ht="16.4" customHeight="1" s="27">
      <c r="A79" s="24" t="inlineStr">
        <is>
          <t>X013</t>
        </is>
      </c>
      <c r="B79" s="24" t="inlineStr">
        <is>
          <t>Factoring</t>
        </is>
      </c>
      <c r="C79" s="24" t="inlineStr">
        <is>
          <t>MVP</t>
        </is>
      </c>
      <c r="D79" s="24" t="inlineStr">
        <is>
          <t>QA</t>
        </is>
      </c>
      <c r="E79" s="33" t="inlineStr">
        <is>
          <t>Pruebas de factoring</t>
        </is>
      </c>
      <c r="F79" s="34" t="inlineStr">
        <is>
          <t>Mora, pago directo, devolución, recurso y liquidación.</t>
        </is>
      </c>
      <c r="G79" s="26" t="n">
        <v>0</v>
      </c>
      <c r="H79" s="26" t="n">
        <v>0</v>
      </c>
      <c r="I79" s="36">
        <f>IF($H79=1,preciosxhora!C$3,IF($H79=2,preciosxhora!C$4,IF($H79=3,preciosxhora!C$5,IF($H79=4,preciosxhora!C$6,0))))</f>
        <v/>
      </c>
      <c r="J79" s="36">
        <f>I79*G79</f>
        <v/>
      </c>
    </row>
    <row r="80" ht="16.4" customHeight="1" s="27">
      <c r="A80" s="24" t="inlineStr">
        <is>
          <t>Q001</t>
        </is>
      </c>
      <c r="B80" s="24" t="inlineStr">
        <is>
          <t>Calidad y despliegue</t>
        </is>
      </c>
      <c r="C80" s="24" t="inlineStr">
        <is>
          <t>MVP</t>
        </is>
      </c>
      <c r="D80" s="24" t="inlineStr">
        <is>
          <t>QA</t>
        </is>
      </c>
      <c r="E80" s="33" t="inlineStr">
        <is>
          <t>Pruebas end-to-end</t>
        </is>
      </c>
      <c r="F80" s="34" t="inlineStr">
        <is>
          <t>Flujos completos entre rendición, banco, factura y factoring.</t>
        </is>
      </c>
      <c r="G80" s="26" t="n">
        <v>0</v>
      </c>
      <c r="H80" s="26" t="n">
        <v>0</v>
      </c>
      <c r="I80" s="36">
        <f>IF($H80=1,preciosxhora!C$3,IF($H80=2,preciosxhora!C$4,IF($H80=3,preciosxhora!C$5,IF($H80=4,preciosxhora!C$6,0))))</f>
        <v/>
      </c>
      <c r="J80" s="36">
        <f>I80*G80</f>
        <v/>
      </c>
    </row>
    <row r="81" ht="16.4" customHeight="1" s="27">
      <c r="A81" s="24" t="inlineStr">
        <is>
          <t>Q002</t>
        </is>
      </c>
      <c r="B81" s="24" t="inlineStr">
        <is>
          <t>Calidad y despliegue</t>
        </is>
      </c>
      <c r="C81" s="24" t="inlineStr">
        <is>
          <t>MVP</t>
        </is>
      </c>
      <c r="D81" s="24" t="inlineStr">
        <is>
          <t>QA</t>
        </is>
      </c>
      <c r="E81" s="33" t="inlineStr">
        <is>
          <t>Aceptación de usuario y ajustes</t>
        </is>
      </c>
      <c r="F81" s="34" t="inlineStr">
        <is>
          <t>Casos reales ejecutados y observaciones resueltas.</t>
        </is>
      </c>
      <c r="G81" s="26" t="n">
        <v>0</v>
      </c>
      <c r="H81" s="26" t="n">
        <v>0</v>
      </c>
      <c r="I81" s="36">
        <f>IF($H81=1,preciosxhora!C$3,IF($H81=2,preciosxhora!C$4,IF($H81=3,preciosxhora!C$5,IF($H81=4,preciosxhora!C$6,0))))</f>
        <v/>
      </c>
      <c r="J81" s="36">
        <f>I81*G81</f>
        <v/>
      </c>
    </row>
    <row r="82" ht="16.4" customHeight="1" s="27">
      <c r="A82" s="24" t="inlineStr">
        <is>
          <t>Q003</t>
        </is>
      </c>
      <c r="B82" s="24" t="inlineStr">
        <is>
          <t>Calidad y despliegue</t>
        </is>
      </c>
      <c r="C82" s="24" t="inlineStr">
        <is>
          <t>MVP</t>
        </is>
      </c>
      <c r="D82" s="24" t="inlineStr">
        <is>
          <t>QA</t>
        </is>
      </c>
      <c r="E82" s="33" t="inlineStr">
        <is>
          <t>Seguridad y rendimiento de archivos</t>
        </is>
      </c>
      <c r="F82" s="34" t="inlineStr">
        <is>
          <t>Límites, permisos, tipos y tiempos de respuesta verificados.</t>
        </is>
      </c>
      <c r="G82" s="26" t="n">
        <v>0</v>
      </c>
      <c r="H82" s="26" t="n">
        <v>0</v>
      </c>
      <c r="I82" s="36">
        <f>IF($H82=1,preciosxhora!C$3,IF($H82=2,preciosxhora!C$4,IF($H82=3,preciosxhora!C$5,IF($H82=4,preciosxhora!C$6,0))))</f>
        <v/>
      </c>
      <c r="J82" s="36">
        <f>I82*G82</f>
        <v/>
      </c>
    </row>
    <row r="83" ht="16.4" customHeight="1" s="27">
      <c r="A83" s="24" t="inlineStr">
        <is>
          <t>Q004</t>
        </is>
      </c>
      <c r="B83" s="24" t="inlineStr">
        <is>
          <t>Calidad y despliegue</t>
        </is>
      </c>
      <c r="C83" s="24" t="inlineStr">
        <is>
          <t>Opcional</t>
        </is>
      </c>
      <c r="D83" s="24" t="inlineStr">
        <is>
          <t>Integración</t>
        </is>
      </c>
      <c r="E83" s="33" t="inlineStr">
        <is>
          <t>Carga inicial desde planillas</t>
        </is>
      </c>
      <c r="F83" s="34" t="inlineStr">
        <is>
          <t>Migración, limpieza y validación de datos históricos.</t>
        </is>
      </c>
      <c r="G83" s="26" t="n">
        <v>0</v>
      </c>
      <c r="H83" s="26" t="n">
        <v>0</v>
      </c>
      <c r="I83" s="36">
        <f>IF($H83=1,preciosxhora!C$3,IF($H83=2,preciosxhora!C$4,IF($H83=3,preciosxhora!C$5,IF($H83=4,preciosxhora!C$6,0))))</f>
        <v/>
      </c>
      <c r="J83" s="36">
        <f>I83*G83</f>
        <v/>
      </c>
    </row>
    <row r="84" ht="16.4" customHeight="1" s="27">
      <c r="A84" s="24" t="inlineStr">
        <is>
          <t>Q005</t>
        </is>
      </c>
      <c r="B84" s="24" t="inlineStr">
        <is>
          <t>Calidad y despliegue</t>
        </is>
      </c>
      <c r="C84" s="24" t="inlineStr">
        <is>
          <t>MVP</t>
        </is>
      </c>
      <c r="D84" s="24" t="inlineStr">
        <is>
          <t>DevOps</t>
        </is>
      </c>
      <c r="E84" s="33" t="inlineStr">
        <is>
          <t>Despliegue, respaldos y monitoreo</t>
        </is>
      </c>
      <c r="F84" s="34" t="inlineStr">
        <is>
          <t>Migraciones, rollback y respaldo probados.</t>
        </is>
      </c>
      <c r="G84" s="26" t="n">
        <v>0</v>
      </c>
      <c r="H84" s="26" t="n">
        <v>0</v>
      </c>
      <c r="I84" s="36">
        <f>IF($H84=1,preciosxhora!C$3,IF($H84=2,preciosxhora!C$4,IF($H84=3,preciosxhora!C$5,IF($H84=4,preciosxhora!C$6,0))))</f>
        <v/>
      </c>
      <c r="J84" s="36">
        <f>I84*G84</f>
        <v/>
      </c>
    </row>
    <row r="85" ht="16.4" customHeight="1" s="27">
      <c r="A85" s="24" t="inlineStr">
        <is>
          <t>Q006</t>
        </is>
      </c>
      <c r="B85" s="24" t="inlineStr">
        <is>
          <t>Calidad y despliegue</t>
        </is>
      </c>
      <c r="C85" s="24" t="inlineStr">
        <is>
          <t>Opcional</t>
        </is>
      </c>
      <c r="D85" s="24" t="inlineStr">
        <is>
          <t>Documentación</t>
        </is>
      </c>
      <c r="E85" s="33" t="inlineStr">
        <is>
          <t>Documentación técnica</t>
        </is>
      </c>
      <c r="F85" s="34" t="inlineStr">
        <is>
          <t>Modelos, servicios, configuración y mantenimiento.</t>
        </is>
      </c>
      <c r="G85" s="26" t="n">
        <v>0</v>
      </c>
      <c r="H85" s="26" t="n">
        <v>0</v>
      </c>
      <c r="I85" s="36">
        <f>IF($H85=1,preciosxhora!C$3,IF($H85=2,preciosxhora!C$4,IF($H85=3,preciosxhora!C$5,IF($H85=4,preciosxhora!C$6,0))))</f>
        <v/>
      </c>
      <c r="J85" s="36">
        <f>I85*G85</f>
        <v/>
      </c>
    </row>
    <row r="86" ht="16.4" customHeight="1" s="27">
      <c r="A86" s="24" t="inlineStr">
        <is>
          <t>Q007</t>
        </is>
      </c>
      <c r="B86" s="24" t="inlineStr">
        <is>
          <t>Calidad y despliegue</t>
        </is>
      </c>
      <c r="C86" s="24" t="inlineStr">
        <is>
          <t>Opcional</t>
        </is>
      </c>
      <c r="D86" s="24" t="inlineStr">
        <is>
          <t>Documentación</t>
        </is>
      </c>
      <c r="E86" s="33" t="inlineStr">
        <is>
          <t>Capacitación de usuarios</t>
        </is>
      </c>
      <c r="F86" s="34" t="inlineStr">
        <is>
          <t>Sesiones, material y preguntas frecuentes.</t>
        </is>
      </c>
      <c r="G86" s="26" t="n">
        <v>0</v>
      </c>
      <c r="H86" s="26" t="n">
        <v>0</v>
      </c>
      <c r="I86" s="36">
        <f>IF($H86=1,preciosxhora!C$3,IF($H86=2,preciosxhora!C$4,IF($H86=3,preciosxhora!C$5,IF($H86=4,preciosxhora!C$6,0))))</f>
        <v/>
      </c>
      <c r="J86" s="36">
        <f>I86*G86</f>
        <v/>
      </c>
    </row>
    <row r="87" ht="16.4" customHeight="1" s="27">
      <c r="A87" s="24" t="inlineStr">
        <is>
          <t>Q008</t>
        </is>
      </c>
      <c r="B87" s="24" t="inlineStr">
        <is>
          <t>Calidad y despliegue</t>
        </is>
      </c>
      <c r="C87" s="24" t="inlineStr">
        <is>
          <t>MVP</t>
        </is>
      </c>
      <c r="D87" s="24" t="inlineStr">
        <is>
          <t>QA</t>
        </is>
      </c>
      <c r="E87" s="33" t="inlineStr">
        <is>
          <t>Estabilización post-entrega</t>
        </is>
      </c>
      <c r="F87" s="34" t="inlineStr">
        <is>
          <t>Correcciones dentro del período acordado.</t>
        </is>
      </c>
      <c r="G87" s="26" t="n">
        <v>0</v>
      </c>
      <c r="H87" s="26" t="n">
        <v>0</v>
      </c>
      <c r="I87" s="36">
        <f>IF($H87=1,preciosxhora!C$3,IF($H87=2,preciosxhora!C$4,IF($H87=3,preciosxhora!C$5,IF($H87=4,preciosxhora!C$6,0))))</f>
        <v/>
      </c>
      <c r="J87" s="36">
        <f>I87*G87</f>
        <v/>
      </c>
    </row>
    <row r="90" ht="17.35" customHeight="1" s="27">
      <c r="G90" s="41">
        <f>SUM(G3:G87)</f>
        <v/>
      </c>
      <c r="H90" s="42" t="n"/>
      <c r="I90" s="42" t="n"/>
      <c r="J90" s="41">
        <f>SUM(J3:J87)</f>
        <v/>
      </c>
    </row>
    <row r="92">
      <c r="A92" s="43" t="inlineStr">
        <is>
          <t>RESUMEN MÓDULO RENDICIONES (estimado realista según avance actual)</t>
        </is>
      </c>
    </row>
    <row r="93">
      <c r="A93" t="inlineStr">
        <is>
          <t>Horas Rendiciones (R001–R022)</t>
        </is>
      </c>
      <c r="G93">
        <f>SUM(G10:G31)</f>
        <v/>
      </c>
      <c r="J93">
        <f>SUM(J10:J31)</f>
        <v/>
      </c>
      <c r="K93" t="inlineStr">
        <is>
          <t>Total $ estimado módulo</t>
        </is>
      </c>
    </row>
    <row r="94">
      <c r="A94" t="inlineStr">
        <is>
          <t>Horas ya hechas / parciales (costo hundido aprox.)</t>
        </is>
      </c>
      <c r="G94">
        <f>SUMIF(K10:K31,"Hecho",G10:G31)+SUMIF(K10:K31,"Parcial",G10:G31)*0.5</f>
        <v/>
      </c>
      <c r="J94">
        <f>SUMIF(K10:K31,"Hecho",J10:J31)+SUMIF(K10:K31,"Parcial",J10:J31)*0.5</f>
        <v/>
      </c>
      <c r="K94" t="inlineStr">
        <is>
          <t>Hecho + 50% de Parcial</t>
        </is>
      </c>
    </row>
    <row r="95">
      <c r="A95" t="inlineStr">
        <is>
          <t>Horas pendientes (resto MVP/Fase2/QA)</t>
        </is>
      </c>
      <c r="G95">
        <f>G93-G94</f>
        <v/>
      </c>
      <c r="J95">
        <f>J93-J94</f>
        <v/>
      </c>
      <c r="K95" t="inlineStr">
        <is>
          <t>Pendiente + 50% Parcial restante</t>
        </is>
      </c>
    </row>
    <row r="96">
      <c r="A96" t="inlineStr">
        <is>
          <t>Nota</t>
        </is>
      </c>
      <c r="B96" s="44" t="inlineStr">
        <is>
          <t>Base preciosxhora=$18.000. Factores: 1=muy sencilla(0.8), 2=sencilla(1), 3=media(1.25), 4=compleja(1.5). Estimación ajustada al trabajo real: lista/escritorio/OCR/PDF/cierre ya operativos; faltan fondos, liquidación, aprobación formal, Excel y conciliación bancaria de liquidaciones.</t>
        </is>
      </c>
    </row>
    <row r="97"/>
    <row r="1048572" ht="12.8" customHeight="1" s="27"/>
    <row r="1048573" ht="12.8" customHeight="1" s="27"/>
    <row r="1048574" ht="12.8" customHeight="1" s="27"/>
    <row r="1048575" ht="12.8" customHeight="1" s="27"/>
    <row r="1048576" ht="12.8" customHeight="1" s="27"/>
  </sheetData>
  <mergeCells count="2">
    <mergeCell ref="B96:K97"/>
    <mergeCell ref="A92:K9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27">
      <c r="A1" s="45" t="inlineStr">
        <is>
          <t>Recurso</t>
        </is>
      </c>
      <c r="B1" s="46" t="inlineStr">
        <is>
          <t>Valor Hora</t>
        </is>
      </c>
    </row>
    <row r="2" ht="23.85" customHeight="1" s="27">
      <c r="A2" s="47" t="inlineStr">
        <is>
          <t>Analista Funcional</t>
        </is>
      </c>
      <c r="B2" s="48" t="inlineStr">
        <is>
          <t>$45.000</t>
        </is>
      </c>
    </row>
    <row r="3" ht="23.85" customHeight="1" s="27">
      <c r="A3" s="47" t="inlineStr">
        <is>
          <t>Programador Backend</t>
        </is>
      </c>
      <c r="B3" s="48" t="inlineStr">
        <is>
          <t>$42.000</t>
        </is>
      </c>
    </row>
    <row r="4" ht="23.85" customHeight="1" s="27">
      <c r="A4" s="47" t="inlineStr">
        <is>
          <t>Programador Frontend</t>
        </is>
      </c>
      <c r="B4" s="48" t="inlineStr">
        <is>
          <t>$40.000</t>
        </is>
      </c>
    </row>
    <row r="5" ht="12.8" customHeight="1" s="27">
      <c r="A5" s="47" t="inlineStr">
        <is>
          <t>Full Stack</t>
        </is>
      </c>
      <c r="B5" s="48" t="inlineStr">
        <is>
          <t>$48.000</t>
        </is>
      </c>
    </row>
    <row r="6" ht="23.85" customHeight="1" s="27">
      <c r="A6" s="47" t="inlineStr">
        <is>
          <t>Diseñador UI/UX</t>
        </is>
      </c>
      <c r="B6" s="48" t="inlineStr">
        <is>
          <t>$38.000</t>
        </is>
      </c>
    </row>
    <row r="7" ht="12.8" customHeight="1" s="27">
      <c r="A7" s="47" t="inlineStr">
        <is>
          <t>DBA</t>
        </is>
      </c>
      <c r="B7" s="48" t="inlineStr">
        <is>
          <t>$50.000</t>
        </is>
      </c>
    </row>
    <row r="8" ht="12.8" customHeight="1" s="27">
      <c r="A8" s="47" t="inlineStr">
        <is>
          <t>DevOps</t>
        </is>
      </c>
      <c r="B8" s="48" t="inlineStr">
        <is>
          <t>$55.000</t>
        </is>
      </c>
    </row>
    <row r="9" ht="12.8" customHeight="1" s="27">
      <c r="A9" s="47" t="inlineStr">
        <is>
          <t>QA</t>
        </is>
      </c>
      <c r="B9" s="48" t="inlineStr">
        <is>
          <t>$32.000</t>
        </is>
      </c>
    </row>
    <row r="10" ht="23.85" customHeight="1" s="27">
      <c r="A10" s="47" t="inlineStr">
        <is>
          <t>Jefe de Proyecto</t>
        </is>
      </c>
      <c r="B10" s="48" t="inlineStr">
        <is>
          <t>$60.000</t>
        </is>
      </c>
    </row>
    <row r="11" ht="12.8" customHeight="1" s="27">
      <c r="A11" s="47" t="inlineStr">
        <is>
          <t>Arquitecto</t>
        </is>
      </c>
      <c r="B11" s="48" t="inlineStr">
        <is>
          <t>$75.000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zeroHeight="0" outlineLevelRow="0"/>
  <cols>
    <col width="25.58" customWidth="1" style="24" min="2" max="2"/>
  </cols>
  <sheetData>
    <row r="1" ht="35.05" customHeight="1" s="27">
      <c r="A1" s="45" t="inlineStr">
        <is>
          <t>Perfil</t>
        </is>
      </c>
      <c r="B1" s="46" t="inlineStr">
        <is>
          <t>Valor hora recomendado</t>
        </is>
      </c>
    </row>
    <row r="2" ht="23.85" customHeight="1" s="27">
      <c r="A2" s="47" t="inlineStr">
        <is>
          <t>Programador Junior</t>
        </is>
      </c>
      <c r="B2" s="49" t="inlineStr">
        <is>
          <t>$18.000 – $30.000</t>
        </is>
      </c>
    </row>
    <row r="3" ht="23.85" customHeight="1" s="27">
      <c r="A3" s="47" t="inlineStr">
        <is>
          <t>Programador Semi Senior</t>
        </is>
      </c>
      <c r="B3" s="49" t="inlineStr">
        <is>
          <t>$30.000 – $45.000</t>
        </is>
      </c>
    </row>
    <row r="4" ht="23.85" customHeight="1" s="27">
      <c r="A4" s="47" t="inlineStr">
        <is>
          <t>Programador Senior</t>
        </is>
      </c>
      <c r="B4" s="49" t="inlineStr">
        <is>
          <t>$45.000 – $70.000</t>
        </is>
      </c>
    </row>
    <row r="5" ht="23.85" customHeight="1" s="27">
      <c r="A5" s="47" t="inlineStr">
        <is>
          <t>Arquitecto de Software</t>
        </is>
      </c>
      <c r="B5" s="49" t="inlineStr">
        <is>
          <t>$70.000 – $100.000</t>
        </is>
      </c>
    </row>
    <row r="6" ht="57.45" customHeight="1" s="27">
      <c r="A6" s="47" t="inlineStr">
        <is>
          <t>Consultor Especialista / IA / Ciberseguridad</t>
        </is>
      </c>
      <c r="B6" s="49" t="inlineStr">
        <is>
          <t>$80.000 – $150.000+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11.53515625" defaultRowHeight="12.8" zeroHeight="0" outlineLevelRow="0"/>
  <cols>
    <col width="18.91" customWidth="1" style="24" min="2" max="2"/>
  </cols>
  <sheetData>
    <row r="1" ht="17.35" customHeight="1" s="27">
      <c r="A1" s="50" t="inlineStr">
        <is>
          <t>valor</t>
        </is>
      </c>
      <c r="B1" s="51" t="n">
        <v>18000</v>
      </c>
      <c r="C1" s="50" t="n"/>
    </row>
    <row r="2" ht="17.35" customHeight="1" s="27">
      <c r="A2" s="50" t="n"/>
      <c r="B2" s="50" t="n"/>
      <c r="C2" s="50" t="n"/>
    </row>
    <row r="3" ht="17.35" customHeight="1" s="27">
      <c r="A3" s="52" t="n">
        <v>1</v>
      </c>
      <c r="B3" s="52" t="inlineStr">
        <is>
          <t>muy sencilla</t>
        </is>
      </c>
      <c r="C3" s="51">
        <f>B1*0.8</f>
        <v/>
      </c>
    </row>
    <row r="4" ht="17.35" customHeight="1" s="27">
      <c r="A4" s="52" t="n">
        <v>2</v>
      </c>
      <c r="B4" s="52" t="inlineStr">
        <is>
          <t>sencilla</t>
        </is>
      </c>
      <c r="C4" s="51">
        <f>B1*1</f>
        <v/>
      </c>
    </row>
    <row r="5" ht="17.35" customHeight="1" s="27">
      <c r="A5" s="52" t="n">
        <v>3</v>
      </c>
      <c r="B5" s="52" t="inlineStr">
        <is>
          <t xml:space="preserve">media </t>
        </is>
      </c>
      <c r="C5" s="51">
        <f>B1*1.25</f>
        <v/>
      </c>
    </row>
    <row r="6" ht="17.35" customHeight="1" s="27">
      <c r="A6" s="52" t="n">
        <v>4</v>
      </c>
      <c r="B6" s="52" t="inlineStr">
        <is>
          <t>compleja</t>
        </is>
      </c>
      <c r="C6" s="51">
        <f>B1*1.5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style="27" min="1" max="1"/>
  </cols>
  <sheetData>
    <row r="1">
      <c r="A1" s="53" t="inlineStr">
        <is>
          <t>Criterio de estimación — Módulo Rendiciones</t>
        </is>
      </c>
    </row>
    <row r="2">
      <c r="A2" t="inlineStr"/>
    </row>
    <row r="3">
      <c r="A3" t="inlineStr">
        <is>
          <t>Contexto: según desarrollo realizado en el proyecto (modelos adm_*, OCR RapidOCR, lista, escritorio,</t>
        </is>
      </c>
    </row>
    <row r="4">
      <c r="A4" t="inlineStr">
        <is>
          <t>agregar/editar/eliminar comprobantes, PDF, cerrar/reabrir carga, admin de detalles).</t>
        </is>
      </c>
    </row>
    <row r="5">
      <c r="A5" t="inlineStr"/>
    </row>
    <row r="6">
      <c r="A6" t="inlineStr">
        <is>
          <t>Qué ya está cubierto (marcados Hecho/Parcial en Hoja1 col. K):</t>
        </is>
      </c>
    </row>
    <row r="7">
      <c r="A7" t="inlineStr">
        <is>
          <t>- Inicio de rendición + lista + escritorio con datos en BD</t>
        </is>
      </c>
    </row>
    <row r="8">
      <c r="A8" t="inlineStr">
        <is>
          <t>- Detalle de gastos desde imagen (OCR) + corrección manual</t>
        </is>
      </c>
    </row>
    <row r="9">
      <c r="A9" t="inlineStr">
        <is>
          <t>- Adjuntos, sumas, presentación/cierre, PDF</t>
        </is>
      </c>
    </row>
    <row r="10">
      <c r="A10" t="inlineStr"/>
    </row>
    <row r="11">
      <c r="A11" t="inlineStr">
        <is>
          <t>Qué falta para cerrar el módulo operacional completo:</t>
        </is>
      </c>
    </row>
    <row r="12">
      <c r="A12" t="inlineStr">
        <is>
          <t>- Catálogos (categorías) y UI de responsables</t>
        </is>
      </c>
    </row>
    <row r="13">
      <c r="A13" t="inlineStr">
        <is>
          <t>- Entregas de fondo + liquidación (cuadrada / devolución / reembolso)</t>
        </is>
      </c>
    </row>
    <row r="14">
      <c r="A14" t="inlineStr">
        <is>
          <t>- Revisión/aprobación formal y observaciones por gasto</t>
        </is>
      </c>
    </row>
    <row r="15">
      <c r="A15" t="inlineStr">
        <is>
          <t>- Excel; alertas y dashboard (Fase 2)</t>
        </is>
      </c>
    </row>
    <row r="16">
      <c r="A16" t="inlineStr">
        <is>
          <t>- Enlace a conciliación bancaria de liquidaciones</t>
        </is>
      </c>
    </row>
    <row r="17">
      <c r="A17" t="inlineStr"/>
    </row>
    <row r="18">
      <c r="A18" t="inlineStr">
        <is>
          <t>Por qué R006 subió a 8h factor 3: el OCR + parser chileno + despliegue en servidor</t>
        </is>
      </c>
    </row>
    <row r="19">
      <c r="A19" t="inlineStr">
        <is>
          <t>(dependencias, libGL/headless) concentró esfuerzo que el tabulador original no desglosaba.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es-CL</dc:language>
  <dcterms:created xsi:type="dcterms:W3CDTF">2026-07-20T16:54:09Z</dcterms:created>
  <dcterms:modified xsi:type="dcterms:W3CDTF">2026-07-21T11:25:48Z</dcterms:modified>
  <cp:revision>14</cp:revision>
</cp:coreProperties>
</file>