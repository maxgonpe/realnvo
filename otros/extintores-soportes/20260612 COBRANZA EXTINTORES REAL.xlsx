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vreca\Desktop\EXTINTORES REAL\MODULO ADMIN SISTEMA MAX\"/>
    </mc:Choice>
  </mc:AlternateContent>
  <bookViews>
    <workbookView xWindow="0" yWindow="0" windowWidth="20490" windowHeight="7530"/>
  </bookViews>
  <sheets>
    <sheet name="COBRANZA EXTINTORES REAL" sheetId="3" r:id="rId1"/>
    <sheet name="COBRANZA FACTORING" sheetId="4" r:id="rId2"/>
  </sheets>
  <definedNames>
    <definedName name="_xlnm._FilterDatabase" localSheetId="0" hidden="1">'COBRANZA EXTINTORES REAL'!$A$4:$N$37</definedName>
    <definedName name="_xlnm._FilterDatabase" localSheetId="1" hidden="1">'COBRANZA FACTORING'!$A$4:$W$17</definedName>
    <definedName name="_xlnm.Print_Area" localSheetId="0">'COBRANZA EXTINTORES REAL'!$A$1:$N$57</definedName>
    <definedName name="_xlnm.Print_Area" localSheetId="1">'COBRANZA FACTORING'!$A$1:$W$36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4" l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M37" i="3"/>
  <c r="L5" i="3"/>
  <c r="M5" i="3" s="1"/>
  <c r="L6" i="3"/>
  <c r="M6" i="3" s="1"/>
  <c r="F7" i="3"/>
  <c r="F8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I15" i="3"/>
  <c r="J15" i="3" s="1"/>
  <c r="L15" i="3"/>
  <c r="M15" i="3" s="1"/>
  <c r="I16" i="3"/>
  <c r="J16" i="3" s="1"/>
  <c r="L16" i="3"/>
  <c r="M16" i="3" s="1"/>
  <c r="I17" i="3"/>
  <c r="J17" i="3" s="1"/>
  <c r="L17" i="3"/>
  <c r="M17" i="3" s="1"/>
  <c r="I18" i="3"/>
  <c r="J18" i="3" s="1"/>
  <c r="L18" i="3"/>
  <c r="M18" i="3" s="1"/>
  <c r="I19" i="3"/>
  <c r="J19" i="3" s="1"/>
  <c r="L19" i="3"/>
  <c r="M19" i="3" s="1"/>
  <c r="I20" i="3"/>
  <c r="J20" i="3" s="1"/>
  <c r="L20" i="3"/>
  <c r="M20" i="3" s="1"/>
  <c r="I21" i="3"/>
  <c r="J21" i="3" s="1"/>
  <c r="L21" i="3"/>
  <c r="M21" i="3" s="1"/>
  <c r="I22" i="3"/>
  <c r="J22" i="3" s="1"/>
  <c r="L22" i="3"/>
  <c r="M22" i="3" s="1"/>
  <c r="I23" i="3"/>
  <c r="J23" i="3" s="1"/>
  <c r="L23" i="3"/>
  <c r="M23" i="3" s="1"/>
  <c r="I24" i="3"/>
  <c r="J24" i="3" s="1"/>
  <c r="L24" i="3"/>
  <c r="M24" i="3" s="1"/>
  <c r="I25" i="3"/>
  <c r="J25" i="3" s="1"/>
  <c r="L25" i="3"/>
  <c r="M25" i="3" s="1"/>
  <c r="I26" i="3"/>
  <c r="J26" i="3" s="1"/>
  <c r="L26" i="3"/>
  <c r="M26" i="3" s="1"/>
  <c r="I27" i="3"/>
  <c r="J27" i="3" s="1"/>
  <c r="L27" i="3"/>
  <c r="M27" i="3" s="1"/>
  <c r="I28" i="3"/>
  <c r="J28" i="3" s="1"/>
  <c r="L28" i="3"/>
  <c r="M28" i="3" s="1"/>
  <c r="I29" i="3"/>
  <c r="J29" i="3" s="1"/>
  <c r="L29" i="3"/>
  <c r="M29" i="3" s="1"/>
  <c r="I30" i="3"/>
  <c r="J30" i="3" s="1"/>
  <c r="L30" i="3"/>
  <c r="M30" i="3" s="1"/>
  <c r="I31" i="3"/>
  <c r="J31" i="3" s="1"/>
  <c r="L31" i="3"/>
  <c r="M31" i="3" s="1"/>
  <c r="I32" i="3"/>
  <c r="J32" i="3" s="1"/>
  <c r="L32" i="3"/>
  <c r="M32" i="3" s="1"/>
  <c r="I33" i="3"/>
  <c r="J33" i="3" s="1"/>
  <c r="L33" i="3"/>
  <c r="M33" i="3" s="1"/>
  <c r="I34" i="3"/>
  <c r="J34" i="3" s="1"/>
  <c r="L34" i="3"/>
  <c r="M34" i="3" s="1"/>
  <c r="I35" i="3"/>
  <c r="J35" i="3" s="1"/>
  <c r="L35" i="3"/>
  <c r="M35" i="3" s="1"/>
  <c r="I36" i="3"/>
  <c r="J36" i="3" s="1"/>
  <c r="L36" i="3"/>
  <c r="M36" i="3" s="1"/>
  <c r="J16" i="4" l="1"/>
  <c r="J15" i="4"/>
  <c r="J14" i="4"/>
  <c r="J13" i="4"/>
  <c r="J12" i="4"/>
  <c r="K13" i="4"/>
  <c r="K14" i="4"/>
  <c r="K15" i="4"/>
  <c r="K16" i="4"/>
  <c r="K12" i="4"/>
  <c r="J10" i="4"/>
  <c r="J11" i="4"/>
  <c r="M16" i="4" l="1"/>
  <c r="M15" i="4"/>
  <c r="M14" i="4"/>
  <c r="M13" i="4"/>
  <c r="M12" i="4"/>
  <c r="M10" i="4" l="1"/>
  <c r="M11" i="4"/>
  <c r="J9" i="4"/>
  <c r="M9" i="4" s="1"/>
  <c r="J8" i="4"/>
  <c r="M8" i="4" s="1"/>
  <c r="J7" i="4"/>
  <c r="M7" i="4" s="1"/>
  <c r="J6" i="4" l="1"/>
  <c r="J5" i="4"/>
  <c r="K5" i="4"/>
  <c r="K6" i="4"/>
  <c r="L6" i="4" l="1"/>
  <c r="M6" i="4"/>
  <c r="L5" i="4"/>
  <c r="M5" i="4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6" i="3" l="1"/>
  <c r="A7" i="3" s="1"/>
  <c r="A8" i="3" s="1"/>
  <c r="A9" i="3" s="1"/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</calcChain>
</file>

<file path=xl/sharedStrings.xml><?xml version="1.0" encoding="utf-8"?>
<sst xmlns="http://schemas.openxmlformats.org/spreadsheetml/2006/main" count="183" uniqueCount="116">
  <si>
    <t>CLIENTE</t>
  </si>
  <si>
    <t>CONTACTO</t>
  </si>
  <si>
    <t>RUT CLIENTE</t>
  </si>
  <si>
    <t>FACTURA</t>
  </si>
  <si>
    <t>FECHA</t>
  </si>
  <si>
    <t>NETO</t>
  </si>
  <si>
    <t>IVA</t>
  </si>
  <si>
    <t>TOTAL</t>
  </si>
  <si>
    <t>ESTADO</t>
  </si>
  <si>
    <t>DEUDA</t>
  </si>
  <si>
    <t>FECHA ACTUAL</t>
  </si>
  <si>
    <t>DIAS ATRAZO</t>
  </si>
  <si>
    <t>O.C</t>
  </si>
  <si>
    <t>AGENCIA DE CALIDAD DE LA EDUCACION</t>
  </si>
  <si>
    <t>61.980.230- 6</t>
  </si>
  <si>
    <t>FACTORING</t>
  </si>
  <si>
    <t>CIERZO GONZALEZ +56979634824</t>
  </si>
  <si>
    <t>PAGADA</t>
  </si>
  <si>
    <t>CORREO</t>
  </si>
  <si>
    <t>CORPORACION INSTITUTO PROFESIONAL INACAP</t>
  </si>
  <si>
    <t>DIRECCION GENERAL DE AERONAUTICA CIVIL</t>
  </si>
  <si>
    <t>jcgonzalezg@inacap.cl</t>
  </si>
  <si>
    <t>VIVIANA GUIÑEZ +56996809758</t>
  </si>
  <si>
    <t>contacto@maestranzariomela.cl</t>
  </si>
  <si>
    <t>CORP ADMINISTRATIVA DEL PODER JUDICIAL</t>
  </si>
  <si>
    <t>POR COBRAR</t>
  </si>
  <si>
    <t>RECAUDADA</t>
  </si>
  <si>
    <t xml:space="preserve"> 60.301.001- 9</t>
  </si>
  <si>
    <t>VENCIMIENTO FACTORING</t>
  </si>
  <si>
    <t>OPERACIÓN FACTORING</t>
  </si>
  <si>
    <t>ATRAZO FACTORING</t>
  </si>
  <si>
    <t>COBRANZA</t>
  </si>
  <si>
    <t>RESPUESTA</t>
  </si>
  <si>
    <t>FINANZAS</t>
  </si>
  <si>
    <t>79.897.370- 3</t>
  </si>
  <si>
    <t>FERNANDO TEJEDA +56992189867</t>
  </si>
  <si>
    <t xml:space="preserve"> 69.160.300- 8</t>
  </si>
  <si>
    <t>NELIDA ESPINOZA +56936520579</t>
  </si>
  <si>
    <t>prevencioncesfamlebu@gmail.com</t>
  </si>
  <si>
    <t>TRANSPORTES BRETTI SPA</t>
  </si>
  <si>
    <t>TELEFONO</t>
  </si>
  <si>
    <t>fernando.tejeda@bretti.cl</t>
  </si>
  <si>
    <t xml:space="preserve"> 76.057.573- 9</t>
  </si>
  <si>
    <t>EDUARDO POBLETE +56999492173</t>
  </si>
  <si>
    <t>edpc@vtr.net</t>
  </si>
  <si>
    <t>65.184.740- 0</t>
  </si>
  <si>
    <t>CORPORACION EDUCACIONAL CRISTIANA ELIEZER</t>
  </si>
  <si>
    <t>65.145.093- 4</t>
  </si>
  <si>
    <t>ALIMENTOS DULCESUR SPA</t>
  </si>
  <si>
    <t>contacto@dulcesur.cl</t>
  </si>
  <si>
    <t>76.713.217-4</t>
  </si>
  <si>
    <t>ENZO +56998863395</t>
  </si>
  <si>
    <t>PAGO</t>
  </si>
  <si>
    <t xml:space="preserve"> 61.104.000- 8</t>
  </si>
  <si>
    <t>CORPORACION EDUCACIONAL LUIS ESPINOZA PIERRETTI</t>
  </si>
  <si>
    <t xml:space="preserve"> 65.146.105- 7</t>
  </si>
  <si>
    <t>LUIS OCAYO +56941839959</t>
  </si>
  <si>
    <t>luisocayo@cavime.cl</t>
  </si>
  <si>
    <t>69.090.100- 5</t>
  </si>
  <si>
    <t>FRANCO CONCHA +56941219497</t>
  </si>
  <si>
    <t>franco.concha@munisanfernando.com</t>
  </si>
  <si>
    <t>PENDIENTE</t>
  </si>
  <si>
    <t>70.072.600- 2</t>
  </si>
  <si>
    <t xml:space="preserve"> </t>
  </si>
  <si>
    <t xml:space="preserve"> 87.152.900- 0</t>
  </si>
  <si>
    <t>IPN612547</t>
  </si>
  <si>
    <t xml:space="preserve"> JUNTA NACIONAL DE JARDINES INFANTILES</t>
  </si>
  <si>
    <t>1059082-9-AG26</t>
  </si>
  <si>
    <t>mpichun@junji.cl</t>
  </si>
  <si>
    <t>1487-37-AG26</t>
  </si>
  <si>
    <t>JUAN AGURTO +56945328964</t>
  </si>
  <si>
    <t>jagurto@dgac.gob.cl</t>
  </si>
  <si>
    <t>Macarena Pichún Muñoz +569966028349</t>
  </si>
  <si>
    <t xml:space="preserve"> IPN615278</t>
  </si>
  <si>
    <t>CENTRO DE SALUD FAMILIAR RIO NEGRO HORNOPIREN</t>
  </si>
  <si>
    <t>61.980.740- 5</t>
  </si>
  <si>
    <t>4906-96-AG26</t>
  </si>
  <si>
    <t>jarriagada@ssdr.gob.cl</t>
  </si>
  <si>
    <t>Jimena Arriagada 65-2-328630</t>
  </si>
  <si>
    <t>I MUNICIPALIDAD DE SAN FERNANDO</t>
  </si>
  <si>
    <t>2817-245-AG26</t>
  </si>
  <si>
    <t>I MUNICIPALIDAD DE LEBU</t>
  </si>
  <si>
    <t xml:space="preserve"> 3942-132-AG26 </t>
  </si>
  <si>
    <t xml:space="preserve"> I MUNICIPALIDAD DE GALVARINO</t>
  </si>
  <si>
    <t xml:space="preserve"> 69.190.200- 5</t>
  </si>
  <si>
    <t xml:space="preserve"> 4176-110-AG26</t>
  </si>
  <si>
    <t>dballesteros@galvarinochile.cl</t>
  </si>
  <si>
    <t>Neny +56930839963</t>
  </si>
  <si>
    <t>ODT-94</t>
  </si>
  <si>
    <t>IGLESIA BAUTISTA LAS HIGUERAS DE TALCAHUANO</t>
  </si>
  <si>
    <t xml:space="preserve"> ODT-95</t>
  </si>
  <si>
    <t>ODT-96</t>
  </si>
  <si>
    <t xml:space="preserve"> ODT-97</t>
  </si>
  <si>
    <t xml:space="preserve"> SERVICIO NACIONAL DE SALUD HOSPITAL DE FLORIDA</t>
  </si>
  <si>
    <t>61.602.199- 0</t>
  </si>
  <si>
    <t>MAESTRANZA ORMEÑO Y GUIÑEZ LIMITADA</t>
  </si>
  <si>
    <t>ODT-100</t>
  </si>
  <si>
    <t>1057428-321-SE26</t>
  </si>
  <si>
    <t>TOMAS SEPULVEDA +56993598042</t>
  </si>
  <si>
    <t>tomas.sepulveda@ssconcepcion.cl</t>
  </si>
  <si>
    <t xml:space="preserve"> 721703-164-AG26</t>
  </si>
  <si>
    <t>mariana.segura@agenciaeducacion.cl</t>
  </si>
  <si>
    <t>Mariana Segura Gonzalez +56228248575</t>
  </si>
  <si>
    <t>SERVICIO DE SALUD BIO BIO HOSPITAL DE YUMBEL</t>
  </si>
  <si>
    <t xml:space="preserve"> 61.607.307- 9</t>
  </si>
  <si>
    <t>1057422-418-SE26</t>
  </si>
  <si>
    <t>cristobal.sanhuezainostroza@ssbiobio.cl</t>
  </si>
  <si>
    <t>CRISTOBAL SANHUEZA +56974696577</t>
  </si>
  <si>
    <t>CONSTRUCTORA PROVIDENCIA SOCIEDAD LIMITADA</t>
  </si>
  <si>
    <t>76.007.100- 5</t>
  </si>
  <si>
    <t>pjara@cprovidencia.cl</t>
  </si>
  <si>
    <t>Paulina Jara +56990397361</t>
  </si>
  <si>
    <t xml:space="preserve"> 682250-4-AG26</t>
  </si>
  <si>
    <t>pvenegas@pjud.cl</t>
  </si>
  <si>
    <t>PATRICIA VENEGAS +56982933584</t>
  </si>
  <si>
    <t>PAGAR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</si>
</sst>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4" xfId="1" applyNumberFormat="1" applyFont="1" applyFill="1" applyBorder="1" applyAlignment="1">
      <alignment horizontal="center"/>
    </xf>
    <xf numFmtId="164" fontId="5" fillId="0" borderId="4" xfId="1" applyNumberFormat="1" applyFont="1" applyFill="1" applyBorder="1" applyAlignment="1">
      <alignment horizontal="center"/>
    </xf>
    <xf numFmtId="42" fontId="5" fillId="0" borderId="6" xfId="2" applyFont="1" applyFill="1" applyBorder="1" applyAlignment="1">
      <alignment horizontal="center"/>
    </xf>
    <xf numFmtId="0" fontId="5" fillId="0" borderId="5" xfId="0" applyFont="1" applyBorder="1" applyAlignment="1">
      <alignment wrapText="1"/>
    </xf>
    <xf numFmtId="42" fontId="5" fillId="2" borderId="6" xfId="2" applyFont="1" applyFill="1" applyBorder="1" applyAlignment="1">
      <alignment horizontal="center"/>
    </xf>
    <xf numFmtId="0" fontId="2" fillId="0" borderId="7" xfId="0" applyFont="1" applyBorder="1"/>
    <xf numFmtId="42" fontId="7" fillId="4" borderId="1" xfId="0" applyNumberFormat="1" applyFont="1" applyFill="1" applyBorder="1"/>
    <xf numFmtId="0" fontId="7" fillId="4" borderId="1" xfId="0" applyFont="1" applyFill="1" applyBorder="1"/>
    <xf numFmtId="0" fontId="5" fillId="3" borderId="6" xfId="0" applyFont="1" applyFill="1" applyBorder="1" applyAlignment="1">
      <alignment horizontal="center"/>
    </xf>
    <xf numFmtId="164" fontId="5" fillId="3" borderId="4" xfId="1" applyNumberFormat="1" applyFont="1" applyFill="1" applyBorder="1" applyAlignment="1">
      <alignment horizontal="center"/>
    </xf>
    <xf numFmtId="164" fontId="5" fillId="5" borderId="4" xfId="1" applyNumberFormat="1" applyFont="1" applyFill="1" applyBorder="1" applyAlignment="1">
      <alignment horizontal="center"/>
    </xf>
    <xf numFmtId="0" fontId="2" fillId="2" borderId="7" xfId="0" applyFont="1" applyFill="1" applyBorder="1"/>
    <xf numFmtId="14" fontId="5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6" xfId="3" applyBorder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3" applyFill="1" applyBorder="1"/>
    <xf numFmtId="0" fontId="6" fillId="0" borderId="6" xfId="3" quotePrefix="1" applyFill="1" applyBorder="1"/>
    <xf numFmtId="0" fontId="5" fillId="6" borderId="6" xfId="0" applyFont="1" applyFill="1" applyBorder="1" applyAlignment="1">
      <alignment horizontal="center"/>
    </xf>
    <xf numFmtId="42" fontId="0" fillId="0" borderId="0" xfId="2" applyFont="1"/>
    <xf numFmtId="42" fontId="5" fillId="5" borderId="6" xfId="2" applyFont="1" applyFill="1" applyBorder="1" applyAlignment="1">
      <alignment horizontal="center"/>
    </xf>
    <xf numFmtId="41" fontId="0" fillId="0" borderId="0" xfId="1" applyFont="1"/>
    <xf numFmtId="42" fontId="0" fillId="0" borderId="0" xfId="0" applyNumberFormat="1"/>
    <xf numFmtId="0" fontId="5" fillId="0" borderId="6" xfId="0" quotePrefix="1" applyFont="1" applyBorder="1"/>
    <xf numFmtId="42" fontId="0" fillId="0" borderId="0" xfId="2" applyFont="1" applyFill="1"/>
    <xf numFmtId="0" fontId="5" fillId="0" borderId="6" xfId="0" applyFont="1" applyFill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/>
    </xf>
    <xf numFmtId="0" fontId="5" fillId="5" borderId="7" xfId="0" applyFont="1" applyFill="1" applyBorder="1"/>
    <xf numFmtId="0" fontId="4" fillId="0" borderId="0" xfId="0" applyFont="1" applyAlignment="1">
      <alignment horizontal="center"/>
    </xf>
  </cellXfs>
  <cellStyles count="4">
    <cellStyle name="Hipervínculo" xfId="3" builtinId="8"/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pc@vtr.net" TargetMode="External"/><Relationship Id="rId3" Type="http://schemas.openxmlformats.org/officeDocument/2006/relationships/hyperlink" Target="mailto:cristobal.sanhuezainostroza@ssbiobio.cl" TargetMode="External"/><Relationship Id="rId7" Type="http://schemas.openxmlformats.org/officeDocument/2006/relationships/hyperlink" Target="mailto:luisocayo@cavime.cl" TargetMode="External"/><Relationship Id="rId2" Type="http://schemas.openxmlformats.org/officeDocument/2006/relationships/hyperlink" Target="mailto:pjara@cprovidencia.cl" TargetMode="External"/><Relationship Id="rId1" Type="http://schemas.openxmlformats.org/officeDocument/2006/relationships/hyperlink" Target="mailto:pvenegas@pjud.cl" TargetMode="External"/><Relationship Id="rId6" Type="http://schemas.openxmlformats.org/officeDocument/2006/relationships/hyperlink" Target="mailto:contacto@dulcesur.c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contacto@maestranzariomela.cl" TargetMode="External"/><Relationship Id="rId10" Type="http://schemas.openxmlformats.org/officeDocument/2006/relationships/hyperlink" Target="mailto:dballesteros@galvarinochile.cl" TargetMode="External"/><Relationship Id="rId4" Type="http://schemas.openxmlformats.org/officeDocument/2006/relationships/hyperlink" Target="mailto:mariana.segura@agenciaeducacion.cl" TargetMode="External"/><Relationship Id="rId9" Type="http://schemas.openxmlformats.org/officeDocument/2006/relationships/hyperlink" Target="mailto:edpc@vtr.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arriagada@ssdr.gob.cl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jcgonzalezg@inacap.cl" TargetMode="External"/><Relationship Id="rId7" Type="http://schemas.openxmlformats.org/officeDocument/2006/relationships/hyperlink" Target="mailto:jcgonzalezg@inacap.cl" TargetMode="External"/><Relationship Id="rId12" Type="http://schemas.openxmlformats.org/officeDocument/2006/relationships/hyperlink" Target="mailto:tomas.sepulveda@ssconcepcion.cl" TargetMode="External"/><Relationship Id="rId2" Type="http://schemas.openxmlformats.org/officeDocument/2006/relationships/hyperlink" Target="mailto:fernando.tejeda@bretti.cl" TargetMode="External"/><Relationship Id="rId1" Type="http://schemas.openxmlformats.org/officeDocument/2006/relationships/hyperlink" Target="mailto:fernando.tejeda@bretti.cl" TargetMode="External"/><Relationship Id="rId6" Type="http://schemas.openxmlformats.org/officeDocument/2006/relationships/hyperlink" Target="mailto:fernando.tejeda@bretti.cl" TargetMode="External"/><Relationship Id="rId11" Type="http://schemas.openxmlformats.org/officeDocument/2006/relationships/hyperlink" Target="mailto:fernando.tejeda@bretti.cl" TargetMode="External"/><Relationship Id="rId5" Type="http://schemas.openxmlformats.org/officeDocument/2006/relationships/hyperlink" Target="mailto:jagurto@dgac.gob.cl" TargetMode="External"/><Relationship Id="rId10" Type="http://schemas.openxmlformats.org/officeDocument/2006/relationships/hyperlink" Target="mailto:prevencioncesfamlebu@gmail.com" TargetMode="External"/><Relationship Id="rId4" Type="http://schemas.openxmlformats.org/officeDocument/2006/relationships/hyperlink" Target="mailto:mpichun@junji.cl" TargetMode="External"/><Relationship Id="rId9" Type="http://schemas.openxmlformats.org/officeDocument/2006/relationships/hyperlink" Target="mailto:franco.concha@munisanfernan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7"/>
  <sheetViews>
    <sheetView tabSelected="1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9" sqref="D19"/>
    </sheetView>
  </sheetViews>
  <sheetFormatPr baseColWidth="10" defaultColWidth="10.7109375" defaultRowHeight="15" x14ac:dyDescent="0.25"/>
  <cols>
    <col min="1" max="1" width="4" bestFit="1" customWidth="1"/>
    <col min="2" max="2" width="47" customWidth="1"/>
    <col min="3" max="3" width="36.28515625" customWidth="1"/>
    <col min="4" max="4" width="36.5703125" customWidth="1"/>
    <col min="5" max="5" width="16.5703125" style="25" bestFit="1" customWidth="1"/>
    <col min="6" max="6" width="13.85546875" style="39" bestFit="1" customWidth="1"/>
    <col min="7" max="7" width="18.5703125" style="1" bestFit="1" customWidth="1"/>
    <col min="8" max="8" width="11.28515625" bestFit="1" customWidth="1"/>
    <col min="9" max="9" width="18.7109375" bestFit="1" customWidth="1"/>
    <col min="10" max="10" width="17.28515625" bestFit="1" customWidth="1"/>
    <col min="11" max="11" width="11" bestFit="1" customWidth="1"/>
    <col min="12" max="12" width="9.42578125" bestFit="1" customWidth="1"/>
    <col min="13" max="13" width="12.28515625" customWidth="1"/>
    <col min="14" max="14" width="14.7109375" bestFit="1" customWidth="1"/>
    <col min="15" max="15" width="10.85546875" bestFit="1" customWidth="1"/>
    <col min="16" max="16" width="11" bestFit="1" customWidth="1"/>
    <col min="17" max="17" width="10" bestFit="1" customWidth="1"/>
    <col min="18" max="18" width="8.28515625" bestFit="1" customWidth="1"/>
    <col min="19" max="19" width="10.140625" bestFit="1" customWidth="1"/>
    <col min="20" max="20" width="6.28515625" bestFit="1" customWidth="1"/>
  </cols>
  <sheetData>
    <row r="2" spans="1:20" x14ac:dyDescent="0.25">
      <c r="C2" s="42"/>
      <c r="D2" s="42"/>
      <c r="E2" s="42"/>
      <c r="F2" s="42"/>
      <c r="G2" s="6"/>
      <c r="H2" s="6"/>
      <c r="I2" s="6"/>
      <c r="J2" s="6"/>
    </row>
    <row r="3" spans="1:20" ht="15.75" thickBot="1" x14ac:dyDescent="0.3"/>
    <row r="4" spans="1:20" ht="15.75" thickBot="1" x14ac:dyDescent="0.3">
      <c r="B4" s="2" t="s">
        <v>0</v>
      </c>
      <c r="C4" s="3" t="s">
        <v>1</v>
      </c>
      <c r="D4" s="3" t="s">
        <v>18</v>
      </c>
      <c r="E4" s="26" t="s">
        <v>2</v>
      </c>
      <c r="F4" s="40" t="s">
        <v>3</v>
      </c>
      <c r="G4" s="2" t="s">
        <v>12</v>
      </c>
      <c r="H4" s="2" t="s">
        <v>4</v>
      </c>
      <c r="I4" s="2" t="s">
        <v>10</v>
      </c>
      <c r="J4" s="2" t="s">
        <v>11</v>
      </c>
      <c r="K4" s="2" t="s">
        <v>5</v>
      </c>
      <c r="L4" s="2" t="s">
        <v>6</v>
      </c>
      <c r="M4" s="2" t="s">
        <v>7</v>
      </c>
      <c r="N4" s="4" t="s">
        <v>8</v>
      </c>
      <c r="O4" s="23" t="s">
        <v>31</v>
      </c>
      <c r="P4" s="23" t="s">
        <v>32</v>
      </c>
      <c r="Q4" s="23" t="s">
        <v>33</v>
      </c>
      <c r="R4" s="23" t="s">
        <v>18</v>
      </c>
      <c r="S4" s="23" t="s">
        <v>40</v>
      </c>
      <c r="T4" s="23" t="s">
        <v>52</v>
      </c>
    </row>
    <row r="5" spans="1:20" ht="15" customHeight="1" x14ac:dyDescent="0.25">
      <c r="A5">
        <v>1</v>
      </c>
      <c r="B5" s="7" t="s">
        <v>83</v>
      </c>
      <c r="C5" s="28" t="s">
        <v>87</v>
      </c>
      <c r="D5" s="24" t="s">
        <v>86</v>
      </c>
      <c r="E5" s="27" t="s">
        <v>84</v>
      </c>
      <c r="F5" s="18">
        <v>681</v>
      </c>
      <c r="G5" s="8" t="s">
        <v>85</v>
      </c>
      <c r="H5" s="9">
        <v>46178</v>
      </c>
      <c r="I5" s="10">
        <f t="shared" ref="I5:I36" ca="1" si="0">+TODAY()</f>
        <v>46217</v>
      </c>
      <c r="J5" s="20">
        <f ca="1">+H5-I5</f>
        <v>-39</v>
      </c>
      <c r="K5" s="12">
        <v>180350</v>
      </c>
      <c r="L5" s="12">
        <f t="shared" ref="L5:L36" si="1">+K5*0.19</f>
        <v>34266.5</v>
      </c>
      <c r="M5" s="33">
        <f t="shared" ref="M5:M36" si="2">+K5+L5</f>
        <v>214616.5</v>
      </c>
      <c r="N5" s="15" t="s">
        <v>61</v>
      </c>
    </row>
    <row r="6" spans="1:20" ht="15" customHeight="1" x14ac:dyDescent="0.25">
      <c r="A6">
        <f t="shared" ref="A6:A36" si="3">+A5+1</f>
        <v>2</v>
      </c>
      <c r="B6" s="7" t="s">
        <v>46</v>
      </c>
      <c r="C6" s="28" t="s">
        <v>43</v>
      </c>
      <c r="D6" s="29" t="s">
        <v>44</v>
      </c>
      <c r="E6" s="27" t="s">
        <v>47</v>
      </c>
      <c r="F6" s="31">
        <v>682</v>
      </c>
      <c r="G6" s="8" t="s">
        <v>88</v>
      </c>
      <c r="H6" s="9">
        <v>46178</v>
      </c>
      <c r="I6" s="10">
        <f t="shared" ca="1" si="0"/>
        <v>46217</v>
      </c>
      <c r="J6" s="11">
        <f ca="1">+H6-I6</f>
        <v>-39</v>
      </c>
      <c r="K6" s="12">
        <v>121094</v>
      </c>
      <c r="L6" s="12">
        <f t="shared" si="1"/>
        <v>23007.86</v>
      </c>
      <c r="M6" s="14">
        <f t="shared" si="2"/>
        <v>144101.85999999999</v>
      </c>
      <c r="N6" s="21" t="s">
        <v>17</v>
      </c>
    </row>
    <row r="7" spans="1:20" ht="15" customHeight="1" x14ac:dyDescent="0.25">
      <c r="A7">
        <f t="shared" si="3"/>
        <v>3</v>
      </c>
      <c r="B7" s="7" t="s">
        <v>89</v>
      </c>
      <c r="C7" s="28" t="s">
        <v>43</v>
      </c>
      <c r="D7" s="29" t="s">
        <v>44</v>
      </c>
      <c r="E7" s="27" t="s">
        <v>45</v>
      </c>
      <c r="F7" s="31">
        <f t="shared" ref="F7:F36" si="4">+F6+1</f>
        <v>683</v>
      </c>
      <c r="G7" s="8" t="s">
        <v>90</v>
      </c>
      <c r="H7" s="9">
        <v>46178</v>
      </c>
      <c r="I7" s="10">
        <f t="shared" ca="1" si="0"/>
        <v>46217</v>
      </c>
      <c r="J7" s="11">
        <f ca="1">+H7-I7</f>
        <v>-39</v>
      </c>
      <c r="K7" s="12">
        <v>106686</v>
      </c>
      <c r="L7" s="12">
        <f t="shared" si="1"/>
        <v>20270.34</v>
      </c>
      <c r="M7" s="14">
        <f t="shared" si="2"/>
        <v>126956.34</v>
      </c>
      <c r="N7" s="21" t="s">
        <v>17</v>
      </c>
    </row>
    <row r="8" spans="1:20" ht="15" customHeight="1" x14ac:dyDescent="0.25">
      <c r="A8">
        <f t="shared" si="3"/>
        <v>4</v>
      </c>
      <c r="B8" s="13" t="s">
        <v>54</v>
      </c>
      <c r="C8" s="28" t="s">
        <v>56</v>
      </c>
      <c r="D8" s="29" t="s">
        <v>57</v>
      </c>
      <c r="E8" s="27" t="s">
        <v>55</v>
      </c>
      <c r="F8" s="31">
        <f t="shared" si="4"/>
        <v>684</v>
      </c>
      <c r="G8" s="8" t="s">
        <v>91</v>
      </c>
      <c r="H8" s="9">
        <v>46178</v>
      </c>
      <c r="I8" s="10">
        <f t="shared" ca="1" si="0"/>
        <v>46217</v>
      </c>
      <c r="J8" s="11">
        <f ca="1">+H8-I8</f>
        <v>-39</v>
      </c>
      <c r="K8" s="12">
        <v>100860</v>
      </c>
      <c r="L8" s="12">
        <f t="shared" si="1"/>
        <v>19163.400000000001</v>
      </c>
      <c r="M8" s="14">
        <f t="shared" si="2"/>
        <v>120023.4</v>
      </c>
      <c r="N8" s="21" t="s">
        <v>17</v>
      </c>
    </row>
    <row r="9" spans="1:20" ht="15" customHeight="1" x14ac:dyDescent="0.25">
      <c r="A9">
        <f t="shared" si="3"/>
        <v>5</v>
      </c>
      <c r="B9" s="7" t="s">
        <v>48</v>
      </c>
      <c r="C9" s="28" t="s">
        <v>51</v>
      </c>
      <c r="D9" s="29" t="s">
        <v>49</v>
      </c>
      <c r="E9" s="27" t="s">
        <v>50</v>
      </c>
      <c r="F9" s="31">
        <f t="shared" si="4"/>
        <v>685</v>
      </c>
      <c r="G9" s="8" t="s">
        <v>92</v>
      </c>
      <c r="H9" s="9">
        <v>46178</v>
      </c>
      <c r="I9" s="10">
        <f t="shared" ca="1" si="0"/>
        <v>46217</v>
      </c>
      <c r="J9" s="20">
        <f ca="1">+H9-I9</f>
        <v>-39</v>
      </c>
      <c r="K9" s="12">
        <v>161257</v>
      </c>
      <c r="L9" s="12">
        <f t="shared" si="1"/>
        <v>30638.83</v>
      </c>
      <c r="M9" s="14">
        <f t="shared" si="2"/>
        <v>191895.83000000002</v>
      </c>
      <c r="N9" s="21" t="s">
        <v>17</v>
      </c>
    </row>
    <row r="10" spans="1:20" ht="15" customHeight="1" x14ac:dyDescent="0.25">
      <c r="A10">
        <f t="shared" si="3"/>
        <v>6</v>
      </c>
      <c r="B10" s="7" t="s">
        <v>95</v>
      </c>
      <c r="C10" s="28" t="s">
        <v>22</v>
      </c>
      <c r="D10" s="24" t="s">
        <v>23</v>
      </c>
      <c r="E10" s="27" t="s">
        <v>42</v>
      </c>
      <c r="F10" s="31">
        <f t="shared" si="4"/>
        <v>686</v>
      </c>
      <c r="G10" s="8" t="s">
        <v>96</v>
      </c>
      <c r="H10" s="9">
        <v>46185</v>
      </c>
      <c r="I10" s="10">
        <f t="shared" ca="1" si="0"/>
        <v>46217</v>
      </c>
      <c r="J10" s="11">
        <f ca="1">+H10-I10</f>
        <v>-32</v>
      </c>
      <c r="K10" s="12">
        <v>234901</v>
      </c>
      <c r="L10" s="12">
        <f t="shared" si="1"/>
        <v>44631.19</v>
      </c>
      <c r="M10" s="14">
        <f t="shared" si="2"/>
        <v>279532.19</v>
      </c>
      <c r="N10" s="21" t="s">
        <v>17</v>
      </c>
    </row>
    <row r="11" spans="1:20" ht="15" customHeight="1" x14ac:dyDescent="0.25">
      <c r="A11">
        <f t="shared" si="3"/>
        <v>7</v>
      </c>
      <c r="B11" s="7" t="s">
        <v>13</v>
      </c>
      <c r="C11" s="36" t="s">
        <v>102</v>
      </c>
      <c r="D11" s="24" t="s">
        <v>101</v>
      </c>
      <c r="E11" s="27" t="s">
        <v>14</v>
      </c>
      <c r="F11" s="31">
        <f t="shared" si="4"/>
        <v>687</v>
      </c>
      <c r="G11" s="8" t="s">
        <v>100</v>
      </c>
      <c r="H11" s="9">
        <v>46188</v>
      </c>
      <c r="I11" s="10">
        <f t="shared" ca="1" si="0"/>
        <v>46217</v>
      </c>
      <c r="J11" s="19">
        <f ca="1">+H11-I11</f>
        <v>-29</v>
      </c>
      <c r="K11" s="12">
        <v>83920</v>
      </c>
      <c r="L11" s="12">
        <f t="shared" si="1"/>
        <v>15944.800000000001</v>
      </c>
      <c r="M11" s="12">
        <f t="shared" si="2"/>
        <v>99864.8</v>
      </c>
      <c r="N11" s="15" t="s">
        <v>61</v>
      </c>
    </row>
    <row r="12" spans="1:20" ht="15" customHeight="1" x14ac:dyDescent="0.25">
      <c r="A12">
        <f t="shared" si="3"/>
        <v>8</v>
      </c>
      <c r="B12" s="7" t="s">
        <v>103</v>
      </c>
      <c r="C12" s="28" t="s">
        <v>107</v>
      </c>
      <c r="D12" s="24" t="s">
        <v>106</v>
      </c>
      <c r="E12" s="27" t="s">
        <v>104</v>
      </c>
      <c r="F12" s="31">
        <f t="shared" si="4"/>
        <v>688</v>
      </c>
      <c r="G12" s="8" t="s">
        <v>105</v>
      </c>
      <c r="H12" s="9">
        <v>46190</v>
      </c>
      <c r="I12" s="10">
        <f t="shared" ca="1" si="0"/>
        <v>46217</v>
      </c>
      <c r="J12" s="11">
        <f ca="1">+H12-I12</f>
        <v>-27</v>
      </c>
      <c r="K12" s="12">
        <v>1023706</v>
      </c>
      <c r="L12" s="12">
        <f t="shared" si="1"/>
        <v>194504.14</v>
      </c>
      <c r="M12" s="12">
        <f t="shared" si="2"/>
        <v>1218210.1400000001</v>
      </c>
      <c r="N12" s="15" t="s">
        <v>61</v>
      </c>
    </row>
    <row r="13" spans="1:20" ht="15" customHeight="1" x14ac:dyDescent="0.25">
      <c r="A13">
        <f t="shared" si="3"/>
        <v>9</v>
      </c>
      <c r="B13" s="7" t="s">
        <v>108</v>
      </c>
      <c r="C13" s="28" t="s">
        <v>111</v>
      </c>
      <c r="D13" s="24" t="s">
        <v>110</v>
      </c>
      <c r="E13" s="27" t="s">
        <v>109</v>
      </c>
      <c r="F13" s="31">
        <f t="shared" si="4"/>
        <v>689</v>
      </c>
      <c r="G13" s="8">
        <v>71970</v>
      </c>
      <c r="H13" s="9">
        <v>46192</v>
      </c>
      <c r="I13" s="10">
        <f t="shared" ca="1" si="0"/>
        <v>46217</v>
      </c>
      <c r="J13" s="11">
        <f ca="1">+H13-I13</f>
        <v>-25</v>
      </c>
      <c r="K13" s="12">
        <v>1037716</v>
      </c>
      <c r="L13" s="12">
        <f t="shared" si="1"/>
        <v>197166.04</v>
      </c>
      <c r="M13" s="14">
        <f t="shared" si="2"/>
        <v>1234882.04</v>
      </c>
      <c r="N13" s="21" t="s">
        <v>17</v>
      </c>
    </row>
    <row r="14" spans="1:20" ht="15" customHeight="1" x14ac:dyDescent="0.25">
      <c r="A14">
        <f t="shared" si="3"/>
        <v>10</v>
      </c>
      <c r="B14" s="7" t="s">
        <v>24</v>
      </c>
      <c r="C14" s="28" t="s">
        <v>114</v>
      </c>
      <c r="D14" s="24" t="s">
        <v>113</v>
      </c>
      <c r="E14" s="27" t="s">
        <v>27</v>
      </c>
      <c r="F14" s="31">
        <f t="shared" si="4"/>
        <v>690</v>
      </c>
      <c r="G14" s="8" t="s">
        <v>112</v>
      </c>
      <c r="H14" s="9">
        <v>46192</v>
      </c>
      <c r="I14" s="10">
        <f t="shared" ca="1" si="0"/>
        <v>46217</v>
      </c>
      <c r="J14" s="11">
        <f ca="1">+H14-I14</f>
        <v>-25</v>
      </c>
      <c r="K14" s="12">
        <v>162380</v>
      </c>
      <c r="L14" s="12">
        <f t="shared" si="1"/>
        <v>30852.2</v>
      </c>
      <c r="M14" s="14">
        <f t="shared" si="2"/>
        <v>193232.2</v>
      </c>
      <c r="N14" s="21" t="s">
        <v>17</v>
      </c>
    </row>
    <row r="15" spans="1:20" ht="15" customHeight="1" x14ac:dyDescent="0.25">
      <c r="A15">
        <f t="shared" si="3"/>
        <v>11</v>
      </c>
      <c r="B15" s="7"/>
      <c r="C15" s="28"/>
      <c r="D15" s="28"/>
      <c r="E15" s="27"/>
      <c r="F15" s="38">
        <f t="shared" si="4"/>
        <v>691</v>
      </c>
      <c r="G15" s="8"/>
      <c r="H15" s="9"/>
      <c r="I15" s="10">
        <f t="shared" ca="1" si="0"/>
        <v>46217</v>
      </c>
      <c r="J15" s="11">
        <f ca="1">+H15-I15</f>
        <v>-46217</v>
      </c>
      <c r="K15" s="12">
        <v>0</v>
      </c>
      <c r="L15" s="12">
        <f t="shared" si="1"/>
        <v>0</v>
      </c>
      <c r="M15" s="12">
        <f t="shared" si="2"/>
        <v>0</v>
      </c>
      <c r="N15" s="15"/>
    </row>
    <row r="16" spans="1:20" ht="15" customHeight="1" x14ac:dyDescent="0.25">
      <c r="A16">
        <f t="shared" si="3"/>
        <v>12</v>
      </c>
      <c r="B16" s="7"/>
      <c r="C16" s="28"/>
      <c r="D16" s="28"/>
      <c r="E16" s="27"/>
      <c r="F16" s="38">
        <f t="shared" si="4"/>
        <v>692</v>
      </c>
      <c r="G16" s="8"/>
      <c r="H16" s="9"/>
      <c r="I16" s="10">
        <f t="shared" ca="1" si="0"/>
        <v>46217</v>
      </c>
      <c r="J16" s="11">
        <f ca="1">+H16-I16</f>
        <v>-46217</v>
      </c>
      <c r="K16" s="12">
        <v>0</v>
      </c>
      <c r="L16" s="12">
        <f t="shared" si="1"/>
        <v>0</v>
      </c>
      <c r="M16" s="12">
        <f t="shared" si="2"/>
        <v>0</v>
      </c>
      <c r="N16" s="15"/>
    </row>
    <row r="17" spans="1:14" ht="15" customHeight="1" x14ac:dyDescent="0.25">
      <c r="A17">
        <f t="shared" si="3"/>
        <v>13</v>
      </c>
      <c r="B17" s="7"/>
      <c r="C17" s="28"/>
      <c r="D17" s="28"/>
      <c r="E17" s="27"/>
      <c r="F17" s="38">
        <f t="shared" si="4"/>
        <v>693</v>
      </c>
      <c r="G17" s="8"/>
      <c r="H17" s="9"/>
      <c r="I17" s="10">
        <f t="shared" ca="1" si="0"/>
        <v>46217</v>
      </c>
      <c r="J17" s="11">
        <f ca="1">+H17-I17</f>
        <v>-46217</v>
      </c>
      <c r="K17" s="12">
        <v>0</v>
      </c>
      <c r="L17" s="12">
        <f t="shared" si="1"/>
        <v>0</v>
      </c>
      <c r="M17" s="12">
        <f t="shared" si="2"/>
        <v>0</v>
      </c>
      <c r="N17" s="15"/>
    </row>
    <row r="18" spans="1:14" ht="15" customHeight="1" x14ac:dyDescent="0.25">
      <c r="A18">
        <f t="shared" si="3"/>
        <v>14</v>
      </c>
      <c r="B18" s="7"/>
      <c r="C18" s="28"/>
      <c r="D18" s="28"/>
      <c r="E18" s="27"/>
      <c r="F18" s="38">
        <f t="shared" si="4"/>
        <v>694</v>
      </c>
      <c r="G18" s="8"/>
      <c r="H18" s="9"/>
      <c r="I18" s="10">
        <f t="shared" ca="1" si="0"/>
        <v>46217</v>
      </c>
      <c r="J18" s="11">
        <f ca="1">+H18-I18</f>
        <v>-46217</v>
      </c>
      <c r="K18" s="12">
        <v>0</v>
      </c>
      <c r="L18" s="12">
        <f t="shared" si="1"/>
        <v>0</v>
      </c>
      <c r="M18" s="12">
        <f t="shared" si="2"/>
        <v>0</v>
      </c>
      <c r="N18" s="15"/>
    </row>
    <row r="19" spans="1:14" ht="15" customHeight="1" x14ac:dyDescent="0.25">
      <c r="A19">
        <f t="shared" si="3"/>
        <v>15</v>
      </c>
      <c r="B19" s="7"/>
      <c r="C19" s="28"/>
      <c r="D19" s="28"/>
      <c r="E19" s="27"/>
      <c r="F19" s="38">
        <f t="shared" si="4"/>
        <v>695</v>
      </c>
      <c r="G19" s="8"/>
      <c r="H19" s="9"/>
      <c r="I19" s="10">
        <f t="shared" ca="1" si="0"/>
        <v>46217</v>
      </c>
      <c r="J19" s="11">
        <f ca="1">+H19-I19</f>
        <v>-46217</v>
      </c>
      <c r="K19" s="12">
        <v>0</v>
      </c>
      <c r="L19" s="12">
        <f t="shared" si="1"/>
        <v>0</v>
      </c>
      <c r="M19" s="12">
        <f t="shared" si="2"/>
        <v>0</v>
      </c>
      <c r="N19" s="15"/>
    </row>
    <row r="20" spans="1:14" ht="15" customHeight="1" x14ac:dyDescent="0.25">
      <c r="A20">
        <f t="shared" si="3"/>
        <v>16</v>
      </c>
      <c r="B20" s="7"/>
      <c r="C20" s="28"/>
      <c r="D20" s="28"/>
      <c r="E20" s="27"/>
      <c r="F20" s="38">
        <f t="shared" si="4"/>
        <v>696</v>
      </c>
      <c r="G20" s="8"/>
      <c r="H20" s="9"/>
      <c r="I20" s="10">
        <f t="shared" ca="1" si="0"/>
        <v>46217</v>
      </c>
      <c r="J20" s="11">
        <f ca="1">+H20-I20</f>
        <v>-46217</v>
      </c>
      <c r="K20" s="12">
        <v>0</v>
      </c>
      <c r="L20" s="12">
        <f t="shared" si="1"/>
        <v>0</v>
      </c>
      <c r="M20" s="12">
        <f t="shared" si="2"/>
        <v>0</v>
      </c>
      <c r="N20" s="15"/>
    </row>
    <row r="21" spans="1:14" ht="15" customHeight="1" x14ac:dyDescent="0.25">
      <c r="A21">
        <f t="shared" si="3"/>
        <v>17</v>
      </c>
      <c r="B21" s="7"/>
      <c r="C21" s="28"/>
      <c r="D21" s="28"/>
      <c r="E21" s="27"/>
      <c r="F21" s="38">
        <f t="shared" si="4"/>
        <v>697</v>
      </c>
      <c r="G21" s="8"/>
      <c r="H21" s="9"/>
      <c r="I21" s="10">
        <f t="shared" ca="1" si="0"/>
        <v>46217</v>
      </c>
      <c r="J21" s="11">
        <f ca="1">+H21-I21</f>
        <v>-46217</v>
      </c>
      <c r="K21" s="12">
        <v>0</v>
      </c>
      <c r="L21" s="12">
        <f t="shared" si="1"/>
        <v>0</v>
      </c>
      <c r="M21" s="12">
        <f t="shared" si="2"/>
        <v>0</v>
      </c>
      <c r="N21" s="15"/>
    </row>
    <row r="22" spans="1:14" ht="15" customHeight="1" x14ac:dyDescent="0.25">
      <c r="A22">
        <f t="shared" si="3"/>
        <v>18</v>
      </c>
      <c r="B22" s="7"/>
      <c r="C22" s="28"/>
      <c r="D22" s="28"/>
      <c r="E22" s="27"/>
      <c r="F22" s="38">
        <f t="shared" si="4"/>
        <v>698</v>
      </c>
      <c r="G22" s="8"/>
      <c r="H22" s="9"/>
      <c r="I22" s="10">
        <f t="shared" ca="1" si="0"/>
        <v>46217</v>
      </c>
      <c r="J22" s="11">
        <f ca="1">+H22-I22</f>
        <v>-46217</v>
      </c>
      <c r="K22" s="12">
        <v>0</v>
      </c>
      <c r="L22" s="12">
        <f t="shared" si="1"/>
        <v>0</v>
      </c>
      <c r="M22" s="12">
        <f t="shared" si="2"/>
        <v>0</v>
      </c>
      <c r="N22" s="15"/>
    </row>
    <row r="23" spans="1:14" ht="15" customHeight="1" x14ac:dyDescent="0.25">
      <c r="A23">
        <f t="shared" si="3"/>
        <v>19</v>
      </c>
      <c r="B23" s="7"/>
      <c r="C23" s="28"/>
      <c r="D23" s="28"/>
      <c r="E23" s="27"/>
      <c r="F23" s="38">
        <f t="shared" si="4"/>
        <v>699</v>
      </c>
      <c r="G23" s="8"/>
      <c r="H23" s="9"/>
      <c r="I23" s="10">
        <f t="shared" ca="1" si="0"/>
        <v>46217</v>
      </c>
      <c r="J23" s="11">
        <f ca="1">+H23-I23</f>
        <v>-46217</v>
      </c>
      <c r="K23" s="12">
        <v>0</v>
      </c>
      <c r="L23" s="12">
        <f t="shared" si="1"/>
        <v>0</v>
      </c>
      <c r="M23" s="12">
        <f t="shared" si="2"/>
        <v>0</v>
      </c>
      <c r="N23" s="15"/>
    </row>
    <row r="24" spans="1:14" ht="15" customHeight="1" x14ac:dyDescent="0.25">
      <c r="A24">
        <f t="shared" si="3"/>
        <v>20</v>
      </c>
      <c r="B24" s="7"/>
      <c r="C24" s="28"/>
      <c r="D24" s="28"/>
      <c r="E24" s="27"/>
      <c r="F24" s="38">
        <f t="shared" si="4"/>
        <v>700</v>
      </c>
      <c r="G24" s="8"/>
      <c r="H24" s="9"/>
      <c r="I24" s="10">
        <f t="shared" ca="1" si="0"/>
        <v>46217</v>
      </c>
      <c r="J24" s="11">
        <f ca="1">+H24-I24</f>
        <v>-46217</v>
      </c>
      <c r="K24" s="12">
        <v>0</v>
      </c>
      <c r="L24" s="12">
        <f t="shared" si="1"/>
        <v>0</v>
      </c>
      <c r="M24" s="12">
        <f t="shared" si="2"/>
        <v>0</v>
      </c>
      <c r="N24" s="15"/>
    </row>
    <row r="25" spans="1:14" ht="15" customHeight="1" x14ac:dyDescent="0.25">
      <c r="A25">
        <f t="shared" si="3"/>
        <v>21</v>
      </c>
      <c r="B25" s="7"/>
      <c r="C25" s="28"/>
      <c r="D25" s="28"/>
      <c r="E25" s="27"/>
      <c r="F25" s="38">
        <f t="shared" si="4"/>
        <v>701</v>
      </c>
      <c r="G25" s="8"/>
      <c r="H25" s="9"/>
      <c r="I25" s="10">
        <f t="shared" ca="1" si="0"/>
        <v>46217</v>
      </c>
      <c r="J25" s="11">
        <f ca="1">+H25-I25</f>
        <v>-46217</v>
      </c>
      <c r="K25" s="12">
        <v>0</v>
      </c>
      <c r="L25" s="12">
        <f t="shared" si="1"/>
        <v>0</v>
      </c>
      <c r="M25" s="12">
        <f t="shared" si="2"/>
        <v>0</v>
      </c>
      <c r="N25" s="15"/>
    </row>
    <row r="26" spans="1:14" ht="15" customHeight="1" x14ac:dyDescent="0.25">
      <c r="A26">
        <f t="shared" si="3"/>
        <v>22</v>
      </c>
      <c r="B26" s="7"/>
      <c r="C26" s="28"/>
      <c r="D26" s="28"/>
      <c r="E26" s="27"/>
      <c r="F26" s="38">
        <f t="shared" si="4"/>
        <v>702</v>
      </c>
      <c r="G26" s="8"/>
      <c r="H26" s="9"/>
      <c r="I26" s="10">
        <f t="shared" ca="1" si="0"/>
        <v>46217</v>
      </c>
      <c r="J26" s="11">
        <f ca="1">+H26-I26</f>
        <v>-46217</v>
      </c>
      <c r="K26" s="12">
        <v>0</v>
      </c>
      <c r="L26" s="12">
        <f t="shared" si="1"/>
        <v>0</v>
      </c>
      <c r="M26" s="12">
        <f t="shared" si="2"/>
        <v>0</v>
      </c>
      <c r="N26" s="15"/>
    </row>
    <row r="27" spans="1:14" ht="15" customHeight="1" x14ac:dyDescent="0.25">
      <c r="A27">
        <f t="shared" si="3"/>
        <v>23</v>
      </c>
      <c r="B27" s="7"/>
      <c r="C27" s="28"/>
      <c r="D27" s="28"/>
      <c r="E27" s="27"/>
      <c r="F27" s="38">
        <f t="shared" si="4"/>
        <v>703</v>
      </c>
      <c r="G27" s="8"/>
      <c r="H27" s="9"/>
      <c r="I27" s="10">
        <f t="shared" ca="1" si="0"/>
        <v>46217</v>
      </c>
      <c r="J27" s="11">
        <f ca="1">+H27-I27</f>
        <v>-46217</v>
      </c>
      <c r="K27" s="12">
        <v>0</v>
      </c>
      <c r="L27" s="12">
        <f t="shared" si="1"/>
        <v>0</v>
      </c>
      <c r="M27" s="12">
        <f t="shared" si="2"/>
        <v>0</v>
      </c>
      <c r="N27" s="15"/>
    </row>
    <row r="28" spans="1:14" ht="15" customHeight="1" x14ac:dyDescent="0.25">
      <c r="A28">
        <f t="shared" si="3"/>
        <v>24</v>
      </c>
      <c r="B28" s="7"/>
      <c r="C28" s="28"/>
      <c r="D28" s="28"/>
      <c r="E28" s="27"/>
      <c r="F28" s="38">
        <f t="shared" si="4"/>
        <v>704</v>
      </c>
      <c r="G28" s="8"/>
      <c r="H28" s="9"/>
      <c r="I28" s="10">
        <f t="shared" ca="1" si="0"/>
        <v>46217</v>
      </c>
      <c r="J28" s="11">
        <f ca="1">+H28-I28</f>
        <v>-46217</v>
      </c>
      <c r="K28" s="12">
        <v>0</v>
      </c>
      <c r="L28" s="12">
        <f t="shared" si="1"/>
        <v>0</v>
      </c>
      <c r="M28" s="12">
        <f t="shared" si="2"/>
        <v>0</v>
      </c>
      <c r="N28" s="15"/>
    </row>
    <row r="29" spans="1:14" ht="15" customHeight="1" x14ac:dyDescent="0.25">
      <c r="A29">
        <f t="shared" si="3"/>
        <v>25</v>
      </c>
      <c r="B29" s="7"/>
      <c r="C29" s="28"/>
      <c r="D29" s="28"/>
      <c r="E29" s="27"/>
      <c r="F29" s="38">
        <f t="shared" si="4"/>
        <v>705</v>
      </c>
      <c r="G29" s="8"/>
      <c r="H29" s="9"/>
      <c r="I29" s="10">
        <f t="shared" ca="1" si="0"/>
        <v>46217</v>
      </c>
      <c r="J29" s="11">
        <f ca="1">+H29-I29</f>
        <v>-46217</v>
      </c>
      <c r="K29" s="12">
        <v>0</v>
      </c>
      <c r="L29" s="12">
        <f t="shared" si="1"/>
        <v>0</v>
      </c>
      <c r="M29" s="12">
        <f t="shared" si="2"/>
        <v>0</v>
      </c>
      <c r="N29" s="15"/>
    </row>
    <row r="30" spans="1:14" ht="15" customHeight="1" x14ac:dyDescent="0.25">
      <c r="A30">
        <f t="shared" si="3"/>
        <v>26</v>
      </c>
      <c r="B30" s="7"/>
      <c r="C30" s="28"/>
      <c r="D30" s="28"/>
      <c r="E30" s="27"/>
      <c r="F30" s="38">
        <f t="shared" si="4"/>
        <v>706</v>
      </c>
      <c r="G30" s="8"/>
      <c r="H30" s="9"/>
      <c r="I30" s="10">
        <f t="shared" ca="1" si="0"/>
        <v>46217</v>
      </c>
      <c r="J30" s="11">
        <f ca="1">+H30-I30</f>
        <v>-46217</v>
      </c>
      <c r="K30" s="12">
        <v>0</v>
      </c>
      <c r="L30" s="12">
        <f t="shared" si="1"/>
        <v>0</v>
      </c>
      <c r="M30" s="12">
        <f t="shared" si="2"/>
        <v>0</v>
      </c>
      <c r="N30" s="15"/>
    </row>
    <row r="31" spans="1:14" ht="15" customHeight="1" x14ac:dyDescent="0.25">
      <c r="A31">
        <f t="shared" si="3"/>
        <v>27</v>
      </c>
      <c r="B31" s="7"/>
      <c r="C31" s="28"/>
      <c r="D31" s="28"/>
      <c r="E31" s="27"/>
      <c r="F31" s="38">
        <f t="shared" si="4"/>
        <v>707</v>
      </c>
      <c r="G31" s="8"/>
      <c r="H31" s="9"/>
      <c r="I31" s="10">
        <f t="shared" ca="1" si="0"/>
        <v>46217</v>
      </c>
      <c r="J31" s="11">
        <f ca="1">+H31-I31</f>
        <v>-46217</v>
      </c>
      <c r="K31" s="12">
        <v>0</v>
      </c>
      <c r="L31" s="12">
        <f t="shared" si="1"/>
        <v>0</v>
      </c>
      <c r="M31" s="12">
        <f t="shared" si="2"/>
        <v>0</v>
      </c>
      <c r="N31" s="15"/>
    </row>
    <row r="32" spans="1:14" ht="15" customHeight="1" x14ac:dyDescent="0.25">
      <c r="A32">
        <f t="shared" si="3"/>
        <v>28</v>
      </c>
      <c r="B32" s="7"/>
      <c r="C32" s="28"/>
      <c r="D32" s="28"/>
      <c r="E32" s="27"/>
      <c r="F32" s="38">
        <f t="shared" si="4"/>
        <v>708</v>
      </c>
      <c r="G32" s="8"/>
      <c r="H32" s="9"/>
      <c r="I32" s="10">
        <f t="shared" ca="1" si="0"/>
        <v>46217</v>
      </c>
      <c r="J32" s="11">
        <f ca="1">+H32-I32</f>
        <v>-46217</v>
      </c>
      <c r="K32" s="12">
        <v>0</v>
      </c>
      <c r="L32" s="12">
        <f t="shared" si="1"/>
        <v>0</v>
      </c>
      <c r="M32" s="12">
        <f t="shared" si="2"/>
        <v>0</v>
      </c>
      <c r="N32" s="15"/>
    </row>
    <row r="33" spans="1:14" ht="15" customHeight="1" x14ac:dyDescent="0.25">
      <c r="A33">
        <f t="shared" si="3"/>
        <v>29</v>
      </c>
      <c r="B33" s="7"/>
      <c r="C33" s="28"/>
      <c r="D33" s="28"/>
      <c r="E33" s="27"/>
      <c r="F33" s="38">
        <f t="shared" si="4"/>
        <v>709</v>
      </c>
      <c r="G33" s="8"/>
      <c r="H33" s="9"/>
      <c r="I33" s="10">
        <f t="shared" ca="1" si="0"/>
        <v>46217</v>
      </c>
      <c r="J33" s="11">
        <f ca="1">+H33-I33</f>
        <v>-46217</v>
      </c>
      <c r="K33" s="12">
        <v>0</v>
      </c>
      <c r="L33" s="12">
        <f t="shared" si="1"/>
        <v>0</v>
      </c>
      <c r="M33" s="12">
        <f t="shared" si="2"/>
        <v>0</v>
      </c>
      <c r="N33" s="15"/>
    </row>
    <row r="34" spans="1:14" ht="15" customHeight="1" x14ac:dyDescent="0.25">
      <c r="A34">
        <f t="shared" si="3"/>
        <v>30</v>
      </c>
      <c r="B34" s="7"/>
      <c r="C34" s="28"/>
      <c r="D34" s="28"/>
      <c r="E34" s="27"/>
      <c r="F34" s="38">
        <f t="shared" si="4"/>
        <v>710</v>
      </c>
      <c r="G34" s="8"/>
      <c r="H34" s="9"/>
      <c r="I34" s="10">
        <f t="shared" ca="1" si="0"/>
        <v>46217</v>
      </c>
      <c r="J34" s="11">
        <f ca="1">+H34-I34</f>
        <v>-46217</v>
      </c>
      <c r="K34" s="12">
        <v>0</v>
      </c>
      <c r="L34" s="12">
        <f t="shared" si="1"/>
        <v>0</v>
      </c>
      <c r="M34" s="12">
        <f t="shared" si="2"/>
        <v>0</v>
      </c>
      <c r="N34" s="15"/>
    </row>
    <row r="35" spans="1:14" ht="15" customHeight="1" x14ac:dyDescent="0.25">
      <c r="A35">
        <f t="shared" si="3"/>
        <v>31</v>
      </c>
      <c r="B35" s="7"/>
      <c r="C35" s="28"/>
      <c r="D35" s="28"/>
      <c r="E35" s="27"/>
      <c r="F35" s="38">
        <f t="shared" si="4"/>
        <v>711</v>
      </c>
      <c r="G35" s="8"/>
      <c r="H35" s="9"/>
      <c r="I35" s="10">
        <f t="shared" ca="1" si="0"/>
        <v>46217</v>
      </c>
      <c r="J35" s="11">
        <f ca="1">+H35-I35</f>
        <v>-46217</v>
      </c>
      <c r="K35" s="12">
        <v>0</v>
      </c>
      <c r="L35" s="12">
        <f t="shared" si="1"/>
        <v>0</v>
      </c>
      <c r="M35" s="12">
        <f t="shared" si="2"/>
        <v>0</v>
      </c>
      <c r="N35" s="15"/>
    </row>
    <row r="36" spans="1:14" ht="15" customHeight="1" thickBot="1" x14ac:dyDescent="0.3">
      <c r="A36">
        <f t="shared" si="3"/>
        <v>32</v>
      </c>
      <c r="B36" s="7"/>
      <c r="C36" s="28"/>
      <c r="D36" s="28"/>
      <c r="E36" s="27"/>
      <c r="F36" s="38">
        <f t="shared" si="4"/>
        <v>712</v>
      </c>
      <c r="G36" s="8"/>
      <c r="H36" s="9"/>
      <c r="I36" s="10">
        <f t="shared" ca="1" si="0"/>
        <v>46217</v>
      </c>
      <c r="J36" s="11">
        <f ca="1">+H36-I36</f>
        <v>-46217</v>
      </c>
      <c r="K36" s="12">
        <v>0</v>
      </c>
      <c r="L36" s="12">
        <f t="shared" si="1"/>
        <v>0</v>
      </c>
      <c r="M36" s="12">
        <f t="shared" si="2"/>
        <v>0</v>
      </c>
      <c r="N36" s="15"/>
    </row>
    <row r="37" spans="1:14" ht="15.75" customHeight="1" thickBot="1" x14ac:dyDescent="0.3">
      <c r="M37" s="16">
        <f>+SUMIF(N5:N36, "PENDIENTE", M5:M36)</f>
        <v>1532691.4400000002</v>
      </c>
      <c r="N37" s="17" t="s">
        <v>9</v>
      </c>
    </row>
    <row r="39" spans="1:14" x14ac:dyDescent="0.25">
      <c r="M39" s="37"/>
      <c r="N39" s="5"/>
    </row>
    <row r="40" spans="1:14" x14ac:dyDescent="0.25">
      <c r="K40" t="s">
        <v>63</v>
      </c>
    </row>
    <row r="41" spans="1:14" x14ac:dyDescent="0.25">
      <c r="J41" s="32"/>
      <c r="M41" s="35"/>
    </row>
    <row r="42" spans="1:14" x14ac:dyDescent="0.25">
      <c r="J42" s="32"/>
    </row>
    <row r="44" spans="1:14" x14ac:dyDescent="0.25">
      <c r="J44" s="35"/>
    </row>
    <row r="45" spans="1:14" x14ac:dyDescent="0.25">
      <c r="D45" s="32"/>
      <c r="F45" s="39" t="s">
        <v>63</v>
      </c>
    </row>
    <row r="46" spans="1:14" x14ac:dyDescent="0.25">
      <c r="D46" s="32"/>
    </row>
    <row r="47" spans="1:14" x14ac:dyDescent="0.25">
      <c r="D47" s="32"/>
    </row>
  </sheetData>
  <autoFilter ref="A4:N37"/>
  <mergeCells count="1">
    <mergeCell ref="C2:F2"/>
  </mergeCells>
  <hyperlinks>
    <hyperlink ref="D14" r:id="rId1"/>
    <hyperlink ref="D13" r:id="rId2"/>
    <hyperlink ref="D12" r:id="rId3"/>
    <hyperlink ref="D11" r:id="rId4"/>
    <hyperlink ref="D10" r:id="rId5"/>
    <hyperlink ref="D9" r:id="rId6"/>
    <hyperlink ref="D8" r:id="rId7"/>
    <hyperlink ref="D7" r:id="rId8"/>
    <hyperlink ref="D6" r:id="rId9"/>
    <hyperlink ref="D5" r:id="rId10"/>
  </hyperlinks>
  <pageMargins left="0.70866141732283472" right="0.70866141732283472" top="0.74803149606299213" bottom="0.74803149606299213" header="0.31496062992125984" footer="0.31496062992125984"/>
  <pageSetup paperSize="9" scale="60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A24"/>
  <sheetViews>
    <sheetView view="pageBreakPreview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:F2"/>
    </sheetView>
  </sheetViews>
  <sheetFormatPr baseColWidth="10" defaultColWidth="10.7109375" defaultRowHeight="15" x14ac:dyDescent="0.25"/>
  <cols>
    <col min="1" max="1" width="4" bestFit="1" customWidth="1"/>
    <col min="2" max="2" width="51" customWidth="1"/>
    <col min="3" max="3" width="39.5703125" customWidth="1"/>
    <col min="4" max="4" width="36" customWidth="1"/>
    <col min="5" max="5" width="16.5703125" style="1" bestFit="1" customWidth="1"/>
    <col min="6" max="6" width="13.85546875" bestFit="1" customWidth="1"/>
    <col min="7" max="7" width="18.5703125" bestFit="1" customWidth="1"/>
    <col min="8" max="8" width="11.28515625" bestFit="1" customWidth="1"/>
    <col min="9" max="9" width="27.28515625" bestFit="1" customWidth="1"/>
    <col min="10" max="10" width="29.42578125" bestFit="1" customWidth="1"/>
    <col min="11" max="11" width="18.7109375" bestFit="1" customWidth="1"/>
    <col min="12" max="12" width="17.28515625" bestFit="1" customWidth="1"/>
    <col min="13" max="13" width="23.7109375" bestFit="1" customWidth="1"/>
    <col min="14" max="14" width="12" bestFit="1" customWidth="1"/>
    <col min="15" max="15" width="9.42578125" bestFit="1" customWidth="1"/>
    <col min="16" max="16" width="12.28515625" customWidth="1"/>
    <col min="17" max="17" width="14.140625" bestFit="1" customWidth="1"/>
    <col min="18" max="18" width="11.28515625" style="5" bestFit="1" customWidth="1"/>
    <col min="19" max="19" width="15.42578125" style="1" bestFit="1" customWidth="1"/>
    <col min="20" max="20" width="15.5703125" style="1" bestFit="1" customWidth="1"/>
    <col min="21" max="21" width="14.5703125" bestFit="1" customWidth="1"/>
    <col min="22" max="22" width="12.85546875" bestFit="1" customWidth="1"/>
    <col min="23" max="23" width="14.7109375" bestFit="1" customWidth="1"/>
  </cols>
  <sheetData>
    <row r="2" spans="1:16381" x14ac:dyDescent="0.25">
      <c r="C2" s="42"/>
      <c r="D2" s="42"/>
      <c r="E2" s="42"/>
      <c r="F2" s="42"/>
      <c r="G2" s="6"/>
      <c r="H2" s="6"/>
      <c r="I2" s="6"/>
      <c r="J2" s="6"/>
      <c r="K2" s="6"/>
      <c r="L2" s="6"/>
      <c r="M2" s="6"/>
    </row>
    <row r="3" spans="1:16381" ht="15.75" thickBot="1" x14ac:dyDescent="0.3"/>
    <row r="4" spans="1:16381" ht="15.75" thickBot="1" x14ac:dyDescent="0.3">
      <c r="B4" s="2" t="s">
        <v>0</v>
      </c>
      <c r="C4" s="3" t="s">
        <v>1</v>
      </c>
      <c r="D4" s="3" t="s">
        <v>18</v>
      </c>
      <c r="E4" s="3" t="s">
        <v>2</v>
      </c>
      <c r="F4" s="2" t="s">
        <v>3</v>
      </c>
      <c r="G4" s="2" t="s">
        <v>12</v>
      </c>
      <c r="H4" s="2" t="s">
        <v>4</v>
      </c>
      <c r="I4" s="2" t="s">
        <v>29</v>
      </c>
      <c r="J4" s="2" t="s">
        <v>28</v>
      </c>
      <c r="K4" s="2" t="s">
        <v>10</v>
      </c>
      <c r="L4" s="2" t="s">
        <v>11</v>
      </c>
      <c r="M4" s="2" t="s">
        <v>30</v>
      </c>
      <c r="N4" s="2" t="s">
        <v>5</v>
      </c>
      <c r="O4" s="2" t="s">
        <v>6</v>
      </c>
      <c r="P4" s="2" t="s">
        <v>7</v>
      </c>
      <c r="Q4" s="4" t="s">
        <v>8</v>
      </c>
      <c r="S4" s="23" t="s">
        <v>31</v>
      </c>
      <c r="T4" s="23" t="s">
        <v>32</v>
      </c>
      <c r="U4" s="23" t="s">
        <v>33</v>
      </c>
      <c r="V4" s="23" t="s">
        <v>18</v>
      </c>
      <c r="W4" s="23" t="s">
        <v>40</v>
      </c>
    </row>
    <row r="5" spans="1:16381" ht="15" customHeight="1" x14ac:dyDescent="0.25">
      <c r="A5">
        <v>1</v>
      </c>
      <c r="B5" s="7" t="s">
        <v>39</v>
      </c>
      <c r="C5" s="28" t="s">
        <v>35</v>
      </c>
      <c r="D5" s="29" t="s">
        <v>41</v>
      </c>
      <c r="E5" s="27" t="s">
        <v>34</v>
      </c>
      <c r="F5" s="38">
        <v>642</v>
      </c>
      <c r="G5" s="8">
        <v>74985</v>
      </c>
      <c r="H5" s="9">
        <v>46118</v>
      </c>
      <c r="I5" s="9">
        <v>46118</v>
      </c>
      <c r="J5" s="22">
        <f>+I5+30</f>
        <v>46148</v>
      </c>
      <c r="K5" s="10">
        <f t="shared" ref="K5:K6" ca="1" si="0">+TODAY()</f>
        <v>46217</v>
      </c>
      <c r="L5" s="20">
        <f t="shared" ref="L5:L6" ca="1" si="1">+H5-K5</f>
        <v>-99</v>
      </c>
      <c r="M5" s="11">
        <f t="shared" ref="M5:M6" ca="1" si="2">+J5-K5</f>
        <v>-69</v>
      </c>
      <c r="N5" s="12">
        <v>210010</v>
      </c>
      <c r="O5" s="12">
        <v>39901.9</v>
      </c>
      <c r="P5" s="12">
        <v>249911.9</v>
      </c>
      <c r="Q5" s="15" t="s">
        <v>26</v>
      </c>
      <c r="R5" s="5" t="s">
        <v>15</v>
      </c>
      <c r="S5"/>
      <c r="T5"/>
    </row>
    <row r="6" spans="1:16381" ht="15" customHeight="1" x14ac:dyDescent="0.25">
      <c r="A6">
        <f t="shared" ref="A6:A16" si="3">+A5+1</f>
        <v>2</v>
      </c>
      <c r="B6" s="7" t="s">
        <v>39</v>
      </c>
      <c r="C6" s="28" t="s">
        <v>35</v>
      </c>
      <c r="D6" s="29" t="s">
        <v>41</v>
      </c>
      <c r="E6" s="27" t="s">
        <v>34</v>
      </c>
      <c r="F6" s="38">
        <v>643</v>
      </c>
      <c r="G6" s="8">
        <v>74986</v>
      </c>
      <c r="H6" s="9">
        <v>46118</v>
      </c>
      <c r="I6" s="9">
        <v>46118</v>
      </c>
      <c r="J6" s="22">
        <f>+I6+30</f>
        <v>46148</v>
      </c>
      <c r="K6" s="10">
        <f t="shared" ca="1" si="0"/>
        <v>46217</v>
      </c>
      <c r="L6" s="20">
        <f t="shared" ca="1" si="1"/>
        <v>-99</v>
      </c>
      <c r="M6" s="11">
        <f t="shared" ca="1" si="2"/>
        <v>-69</v>
      </c>
      <c r="N6" s="12">
        <v>149974</v>
      </c>
      <c r="O6" s="12">
        <v>28495.06</v>
      </c>
      <c r="P6" s="12">
        <v>178469.06</v>
      </c>
      <c r="Q6" s="15" t="s">
        <v>26</v>
      </c>
      <c r="R6" s="5" t="s">
        <v>15</v>
      </c>
      <c r="S6"/>
      <c r="T6"/>
    </row>
    <row r="7" spans="1:16381" ht="15" customHeight="1" x14ac:dyDescent="0.25">
      <c r="A7">
        <f t="shared" si="3"/>
        <v>3</v>
      </c>
      <c r="B7" s="7" t="s">
        <v>19</v>
      </c>
      <c r="C7" s="28" t="s">
        <v>16</v>
      </c>
      <c r="D7" s="29" t="s">
        <v>21</v>
      </c>
      <c r="E7" s="27" t="s">
        <v>64</v>
      </c>
      <c r="F7" s="38">
        <v>645</v>
      </c>
      <c r="G7" s="8" t="s">
        <v>65</v>
      </c>
      <c r="H7" s="9">
        <v>46122</v>
      </c>
      <c r="I7" s="10">
        <v>46126</v>
      </c>
      <c r="J7" s="22">
        <f t="shared" ref="J7:J11" si="4">+I7+30</f>
        <v>46156</v>
      </c>
      <c r="K7" s="10">
        <v>46128</v>
      </c>
      <c r="L7" s="11">
        <v>1</v>
      </c>
      <c r="M7" s="11">
        <f t="shared" ref="M7:M16" si="5">+J7-K7</f>
        <v>28</v>
      </c>
      <c r="N7" s="12">
        <v>1898843</v>
      </c>
      <c r="O7" s="12">
        <v>360780.17</v>
      </c>
      <c r="P7" s="14">
        <v>2259623.17</v>
      </c>
      <c r="Q7" s="21" t="s">
        <v>26</v>
      </c>
      <c r="R7" s="5" t="s">
        <v>15</v>
      </c>
      <c r="S7"/>
      <c r="T7"/>
    </row>
    <row r="8" spans="1:16381" ht="15" customHeight="1" x14ac:dyDescent="0.25">
      <c r="A8">
        <f t="shared" si="3"/>
        <v>4</v>
      </c>
      <c r="B8" s="7" t="s">
        <v>66</v>
      </c>
      <c r="C8" s="28" t="s">
        <v>72</v>
      </c>
      <c r="D8" s="29" t="s">
        <v>68</v>
      </c>
      <c r="E8" s="27" t="s">
        <v>62</v>
      </c>
      <c r="F8" s="38">
        <v>646</v>
      </c>
      <c r="G8" s="8" t="s">
        <v>67</v>
      </c>
      <c r="H8" s="9">
        <v>46122</v>
      </c>
      <c r="I8" s="10">
        <v>46128</v>
      </c>
      <c r="J8" s="22">
        <f t="shared" si="4"/>
        <v>46158</v>
      </c>
      <c r="K8" s="10">
        <v>46128</v>
      </c>
      <c r="L8" s="11">
        <v>2</v>
      </c>
      <c r="M8" s="11">
        <f t="shared" si="5"/>
        <v>30</v>
      </c>
      <c r="N8" s="12">
        <v>850190</v>
      </c>
      <c r="O8" s="12">
        <v>161536.1</v>
      </c>
      <c r="P8" s="14">
        <v>1011726.1</v>
      </c>
      <c r="Q8" s="21" t="s">
        <v>26</v>
      </c>
      <c r="R8" s="5" t="s">
        <v>15</v>
      </c>
      <c r="S8"/>
      <c r="T8"/>
    </row>
    <row r="9" spans="1:16381" ht="15" customHeight="1" x14ac:dyDescent="0.25">
      <c r="A9">
        <f t="shared" si="3"/>
        <v>5</v>
      </c>
      <c r="B9" s="7" t="s">
        <v>20</v>
      </c>
      <c r="C9" s="28" t="s">
        <v>70</v>
      </c>
      <c r="D9" s="30" t="s">
        <v>71</v>
      </c>
      <c r="E9" s="27" t="s">
        <v>53</v>
      </c>
      <c r="F9" s="38">
        <v>649</v>
      </c>
      <c r="G9" s="8" t="s">
        <v>69</v>
      </c>
      <c r="H9" s="9">
        <v>46125</v>
      </c>
      <c r="I9" s="10">
        <v>46132</v>
      </c>
      <c r="J9" s="22">
        <f t="shared" si="4"/>
        <v>46162</v>
      </c>
      <c r="K9" s="10">
        <v>46132</v>
      </c>
      <c r="L9" s="11">
        <v>3</v>
      </c>
      <c r="M9" s="11">
        <f t="shared" si="5"/>
        <v>30</v>
      </c>
      <c r="N9" s="12">
        <v>775648</v>
      </c>
      <c r="O9" s="12">
        <v>147373.12</v>
      </c>
      <c r="P9" s="14">
        <v>923021.12</v>
      </c>
      <c r="Q9" s="21" t="s">
        <v>26</v>
      </c>
      <c r="R9" s="5" t="s">
        <v>15</v>
      </c>
      <c r="S9"/>
      <c r="T9"/>
    </row>
    <row r="10" spans="1:16381" ht="15" customHeight="1" x14ac:dyDescent="0.25">
      <c r="A10">
        <f t="shared" si="3"/>
        <v>6</v>
      </c>
      <c r="B10" s="7" t="s">
        <v>39</v>
      </c>
      <c r="C10" s="28" t="s">
        <v>35</v>
      </c>
      <c r="D10" s="29" t="s">
        <v>41</v>
      </c>
      <c r="E10" s="27" t="s">
        <v>34</v>
      </c>
      <c r="F10" s="38">
        <v>650</v>
      </c>
      <c r="G10" s="8">
        <v>75133</v>
      </c>
      <c r="H10" s="9">
        <v>46125</v>
      </c>
      <c r="I10" s="10">
        <v>46140</v>
      </c>
      <c r="J10" s="22">
        <f t="shared" si="4"/>
        <v>46170</v>
      </c>
      <c r="K10" s="10">
        <v>46140</v>
      </c>
      <c r="L10" s="11">
        <v>4</v>
      </c>
      <c r="M10" s="11">
        <f t="shared" si="5"/>
        <v>30</v>
      </c>
      <c r="N10" s="12">
        <v>331443</v>
      </c>
      <c r="O10" s="12">
        <v>62974.17</v>
      </c>
      <c r="P10" s="12">
        <v>394417.17</v>
      </c>
      <c r="Q10" s="15" t="s">
        <v>26</v>
      </c>
      <c r="R10" s="5" t="s">
        <v>15</v>
      </c>
      <c r="S10"/>
      <c r="T10"/>
    </row>
    <row r="11" spans="1:16381" ht="15" customHeight="1" x14ac:dyDescent="0.25">
      <c r="A11">
        <f t="shared" si="3"/>
        <v>7</v>
      </c>
      <c r="B11" s="7" t="s">
        <v>19</v>
      </c>
      <c r="C11" s="28" t="s">
        <v>16</v>
      </c>
      <c r="D11" s="29" t="s">
        <v>21</v>
      </c>
      <c r="E11" s="27" t="s">
        <v>64</v>
      </c>
      <c r="F11" s="38">
        <v>651</v>
      </c>
      <c r="G11" s="8" t="s">
        <v>73</v>
      </c>
      <c r="H11" s="9">
        <v>46126</v>
      </c>
      <c r="I11" s="10">
        <v>46134</v>
      </c>
      <c r="J11" s="22">
        <f t="shared" si="4"/>
        <v>46164</v>
      </c>
      <c r="K11" s="10">
        <v>46134</v>
      </c>
      <c r="L11" s="11">
        <v>5</v>
      </c>
      <c r="M11" s="11">
        <f t="shared" si="5"/>
        <v>30</v>
      </c>
      <c r="N11" s="12">
        <v>1223906</v>
      </c>
      <c r="O11" s="12">
        <v>232542.14</v>
      </c>
      <c r="P11" s="14">
        <v>1456448.1400000001</v>
      </c>
      <c r="Q11" s="21" t="s">
        <v>26</v>
      </c>
      <c r="R11" s="5" t="s">
        <v>15</v>
      </c>
      <c r="S11"/>
      <c r="T11"/>
    </row>
    <row r="12" spans="1:16381" s="39" customFormat="1" ht="15" customHeight="1" x14ac:dyDescent="0.25">
      <c r="A12">
        <f t="shared" si="3"/>
        <v>8</v>
      </c>
      <c r="B12" s="7" t="s">
        <v>74</v>
      </c>
      <c r="C12" s="28" t="s">
        <v>78</v>
      </c>
      <c r="D12" s="29" t="s">
        <v>77</v>
      </c>
      <c r="E12" s="27" t="s">
        <v>75</v>
      </c>
      <c r="F12" s="18">
        <v>662</v>
      </c>
      <c r="G12" s="8" t="s">
        <v>76</v>
      </c>
      <c r="H12" s="9">
        <v>46155</v>
      </c>
      <c r="I12" s="10">
        <v>46156</v>
      </c>
      <c r="J12" s="22">
        <f>+I12+60</f>
        <v>46216</v>
      </c>
      <c r="K12" s="10">
        <f t="shared" ref="K12:K16" ca="1" si="6">+TODAY()</f>
        <v>46217</v>
      </c>
      <c r="L12" s="19">
        <v>5</v>
      </c>
      <c r="M12" s="19">
        <f t="shared" ca="1" si="5"/>
        <v>-1</v>
      </c>
      <c r="N12" s="33">
        <v>462160</v>
      </c>
      <c r="O12" s="33">
        <v>87810.4</v>
      </c>
      <c r="P12" s="33">
        <v>549970.4</v>
      </c>
      <c r="Q12" s="41" t="s">
        <v>115</v>
      </c>
      <c r="R12" s="5" t="s">
        <v>15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</row>
    <row r="13" spans="1:16381" s="39" customFormat="1" ht="15" customHeight="1" x14ac:dyDescent="0.25">
      <c r="A13">
        <f t="shared" si="3"/>
        <v>9</v>
      </c>
      <c r="B13" s="7" t="s">
        <v>79</v>
      </c>
      <c r="C13" s="28" t="s">
        <v>59</v>
      </c>
      <c r="D13" s="30" t="s">
        <v>60</v>
      </c>
      <c r="E13" s="27" t="s">
        <v>58</v>
      </c>
      <c r="F13" s="18">
        <v>672</v>
      </c>
      <c r="G13" s="8" t="s">
        <v>80</v>
      </c>
      <c r="H13" s="9">
        <v>46169</v>
      </c>
      <c r="I13" s="10">
        <v>46171</v>
      </c>
      <c r="J13" s="22">
        <f>+I13+60</f>
        <v>46231</v>
      </c>
      <c r="K13" s="10">
        <f t="shared" ca="1" si="6"/>
        <v>46217</v>
      </c>
      <c r="L13" s="19">
        <v>5</v>
      </c>
      <c r="M13" s="11">
        <f t="shared" ca="1" si="5"/>
        <v>14</v>
      </c>
      <c r="N13" s="12">
        <v>945317</v>
      </c>
      <c r="O13" s="12">
        <v>179610.23</v>
      </c>
      <c r="P13" s="12">
        <v>1124927.23</v>
      </c>
      <c r="Q13" s="15" t="s">
        <v>25</v>
      </c>
      <c r="R13" s="5" t="s">
        <v>15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</row>
    <row r="14" spans="1:16381" s="39" customFormat="1" ht="15" customHeight="1" x14ac:dyDescent="0.25">
      <c r="A14">
        <f t="shared" si="3"/>
        <v>10</v>
      </c>
      <c r="B14" s="7" t="s">
        <v>81</v>
      </c>
      <c r="C14" s="28" t="s">
        <v>37</v>
      </c>
      <c r="D14" s="29" t="s">
        <v>38</v>
      </c>
      <c r="E14" s="27" t="s">
        <v>36</v>
      </c>
      <c r="F14" s="18">
        <v>678</v>
      </c>
      <c r="G14" s="8" t="s">
        <v>82</v>
      </c>
      <c r="H14" s="9">
        <v>46174</v>
      </c>
      <c r="I14" s="10">
        <v>46181</v>
      </c>
      <c r="J14" s="22">
        <f t="shared" ref="J14" si="7">+I14+60</f>
        <v>46241</v>
      </c>
      <c r="K14" s="10">
        <f t="shared" ca="1" si="6"/>
        <v>46217</v>
      </c>
      <c r="L14" s="19">
        <v>5</v>
      </c>
      <c r="M14" s="11">
        <f t="shared" ca="1" si="5"/>
        <v>24</v>
      </c>
      <c r="N14" s="12">
        <v>573764</v>
      </c>
      <c r="O14" s="12">
        <v>109015.16</v>
      </c>
      <c r="P14" s="12">
        <v>682779.16</v>
      </c>
      <c r="Q14" s="15" t="s">
        <v>25</v>
      </c>
      <c r="R14" s="5" t="s">
        <v>15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</row>
    <row r="15" spans="1:16381" s="39" customFormat="1" ht="15" customHeight="1" x14ac:dyDescent="0.25">
      <c r="A15">
        <f t="shared" si="3"/>
        <v>11</v>
      </c>
      <c r="B15" s="7" t="s">
        <v>39</v>
      </c>
      <c r="C15" s="28" t="s">
        <v>35</v>
      </c>
      <c r="D15" s="29" t="s">
        <v>41</v>
      </c>
      <c r="E15" s="27" t="s">
        <v>34</v>
      </c>
      <c r="F15" s="18">
        <v>686</v>
      </c>
      <c r="G15" s="8">
        <v>75133</v>
      </c>
      <c r="H15" s="9">
        <v>46180</v>
      </c>
      <c r="I15" s="10">
        <v>46181</v>
      </c>
      <c r="J15" s="22">
        <f>+I15+30</f>
        <v>46211</v>
      </c>
      <c r="K15" s="10">
        <f t="shared" ca="1" si="6"/>
        <v>46217</v>
      </c>
      <c r="L15" s="20">
        <v>5</v>
      </c>
      <c r="M15" s="11">
        <f t="shared" ca="1" si="5"/>
        <v>-6</v>
      </c>
      <c r="N15" s="12">
        <v>283688</v>
      </c>
      <c r="O15" s="12">
        <v>53900.72</v>
      </c>
      <c r="P15" s="12">
        <v>337588.72</v>
      </c>
      <c r="Q15" s="15" t="s">
        <v>25</v>
      </c>
      <c r="R15" s="5" t="s">
        <v>15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</row>
    <row r="16" spans="1:16381" s="39" customFormat="1" ht="15" customHeight="1" thickBot="1" x14ac:dyDescent="0.3">
      <c r="A16">
        <f t="shared" si="3"/>
        <v>12</v>
      </c>
      <c r="B16" s="7" t="s">
        <v>93</v>
      </c>
      <c r="C16" s="28" t="s">
        <v>98</v>
      </c>
      <c r="D16" s="24" t="s">
        <v>99</v>
      </c>
      <c r="E16" s="27" t="s">
        <v>94</v>
      </c>
      <c r="F16" s="18">
        <v>689</v>
      </c>
      <c r="G16" s="8" t="s">
        <v>97</v>
      </c>
      <c r="H16" s="9">
        <v>46188</v>
      </c>
      <c r="I16" s="10">
        <v>46189</v>
      </c>
      <c r="J16" s="22">
        <f>+I16+30</f>
        <v>46219</v>
      </c>
      <c r="K16" s="10">
        <f t="shared" ca="1" si="6"/>
        <v>46217</v>
      </c>
      <c r="L16" s="20">
        <v>5</v>
      </c>
      <c r="M16" s="11">
        <f t="shared" ca="1" si="5"/>
        <v>2</v>
      </c>
      <c r="N16" s="12">
        <v>882583</v>
      </c>
      <c r="O16" s="12">
        <v>167690.76999999999</v>
      </c>
      <c r="P16" s="12">
        <v>1050273.77</v>
      </c>
      <c r="Q16" s="15" t="s">
        <v>25</v>
      </c>
      <c r="R16" s="5" t="s">
        <v>15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</row>
    <row r="17" spans="5:20" ht="15.75" customHeight="1" thickBot="1" x14ac:dyDescent="0.3">
      <c r="E17"/>
      <c r="P17" s="16">
        <f>+SUMIF(Q5:Q16, "POR COBRAR", P5:P16)</f>
        <v>3195568.8800000004</v>
      </c>
      <c r="Q17" s="17" t="s">
        <v>9</v>
      </c>
      <c r="S17"/>
      <c r="T17"/>
    </row>
    <row r="22" spans="5:20" x14ac:dyDescent="0.25">
      <c r="N22" s="34"/>
    </row>
    <row r="23" spans="5:20" x14ac:dyDescent="0.25">
      <c r="N23" s="32"/>
    </row>
    <row r="24" spans="5:20" x14ac:dyDescent="0.25">
      <c r="N24" s="32"/>
    </row>
  </sheetData>
  <autoFilter ref="A4:W17"/>
  <mergeCells count="1">
    <mergeCell ref="C2:F2"/>
  </mergeCell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</hyperlinks>
  <pageMargins left="0.70866141732283472" right="0.70866141732283472" top="0.74803149606299213" bottom="0.74803149606299213" header="0.31496062992125984" footer="0.31496062992125984"/>
  <pageSetup paperSize="9" scale="16" orientation="landscape" r:id="rId13"/>
  <colBreaks count="1" manualBreakCount="1">
    <brk id="8" max="2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COBRANZA EXTINTORES REAL</vt:lpstr>
      <vt:lpstr>COBRANZA FACTORING</vt:lpstr>
      <vt:lpstr>'COBRANZA EXTINTORES REAL'!Área_de_impresión</vt:lpstr>
      <vt:lpstr>'COBRANZA FACTORING'!Área_de_impresión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vrecabarrena@outlook.com</dc:creator>
  <cp:lastModifiedBy>vrecabarrena@outlook.com</cp:lastModifiedBy>
  <cp:lastPrinted>2024-12-31T12:41:25Z</cp:lastPrinted>
  <dcterms:created xsi:type="dcterms:W3CDTF">2024-04-02T23:43:49Z</dcterms:created>
  <dcterms:modified xsi:type="dcterms:W3CDTF">2026-07-15T03:58:19Z</dcterms:modified>
</cp:coreProperties>
</file>