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reca\Desktop\EXTINTORES REAL\MODULO ADMIN SISTEMA MAX\"/>
    </mc:Choice>
  </mc:AlternateContent>
  <bookViews>
    <workbookView xWindow="28680" yWindow="-120" windowWidth="29040" windowHeight="15720" tabRatio="925"/>
  </bookViews>
  <sheets>
    <sheet name="Ingresos" sheetId="4" r:id="rId1"/>
    <sheet name="Gastos" sheetId="6" r:id="rId2"/>
    <sheet name="Costos" sheetId="20" r:id="rId3"/>
    <sheet name="Datos" sheetId="1" state="hidden" r:id="rId4"/>
    <sheet name="CONTROL TERRENO" sheetId="21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6" i="21" l="1"/>
  <c r="J255" i="21"/>
  <c r="L119" i="20"/>
  <c r="M119" i="20"/>
  <c r="N119" i="20"/>
  <c r="J245" i="21"/>
  <c r="J246" i="21" s="1"/>
  <c r="J229" i="21"/>
  <c r="J230" i="21" s="1"/>
  <c r="J126" i="21"/>
  <c r="J127" i="21" s="1"/>
  <c r="J169" i="21"/>
  <c r="J170" i="21" s="1"/>
  <c r="J208" i="21"/>
  <c r="J209" i="21" s="1"/>
  <c r="J180" i="21"/>
  <c r="J181" i="21" s="1"/>
  <c r="J45" i="21"/>
  <c r="J44" i="21"/>
  <c r="J88" i="21"/>
  <c r="J100" i="21"/>
  <c r="J97" i="21"/>
  <c r="J99" i="21"/>
  <c r="J75" i="21"/>
  <c r="J125" i="21"/>
  <c r="J87" i="21"/>
  <c r="J158" i="21"/>
  <c r="J147" i="21"/>
  <c r="J110" i="21"/>
  <c r="J113" i="21" s="1"/>
  <c r="J137" i="21"/>
  <c r="J138" i="21" s="1"/>
  <c r="J36" i="21"/>
  <c r="L65" i="20"/>
  <c r="L66" i="20"/>
  <c r="L67" i="20"/>
  <c r="L68" i="20"/>
  <c r="L69" i="20"/>
  <c r="L70" i="20"/>
  <c r="M65" i="20"/>
  <c r="M66" i="20"/>
  <c r="M67" i="20"/>
  <c r="M68" i="20"/>
  <c r="M69" i="20"/>
  <c r="M70" i="20"/>
  <c r="N65" i="20"/>
  <c r="N66" i="20"/>
  <c r="N67" i="20"/>
  <c r="N68" i="20"/>
  <c r="N69" i="20"/>
  <c r="N70" i="20"/>
  <c r="L63" i="20"/>
  <c r="L64" i="20"/>
  <c r="L71" i="20"/>
  <c r="L72" i="20"/>
  <c r="M63" i="20"/>
  <c r="M64" i="20"/>
  <c r="M71" i="20"/>
  <c r="M72" i="20"/>
  <c r="N63" i="20"/>
  <c r="N64" i="20"/>
  <c r="N71" i="20"/>
  <c r="N72" i="20"/>
  <c r="L73" i="20"/>
  <c r="L74" i="20"/>
  <c r="M73" i="20"/>
  <c r="M74" i="20"/>
  <c r="N73" i="20"/>
  <c r="N74" i="20"/>
  <c r="L75" i="20"/>
  <c r="M75" i="20"/>
  <c r="N75" i="20"/>
  <c r="L117" i="20" l="1"/>
  <c r="M117" i="20"/>
  <c r="N117" i="20"/>
  <c r="L118" i="20"/>
  <c r="M118" i="20"/>
  <c r="N118" i="20"/>
  <c r="I180" i="20"/>
  <c r="J180" i="20"/>
  <c r="L180" i="20"/>
  <c r="M180" i="20"/>
  <c r="N180" i="20"/>
  <c r="I181" i="20"/>
  <c r="J181" i="20"/>
  <c r="L181" i="20"/>
  <c r="M181" i="20"/>
  <c r="N181" i="20"/>
  <c r="I182" i="20"/>
  <c r="J182" i="20"/>
  <c r="L182" i="20"/>
  <c r="M182" i="20"/>
  <c r="N182" i="20"/>
  <c r="I183" i="20"/>
  <c r="J183" i="20"/>
  <c r="L183" i="20"/>
  <c r="M183" i="20"/>
  <c r="N183" i="20"/>
  <c r="I184" i="20"/>
  <c r="J184" i="20"/>
  <c r="L184" i="20"/>
  <c r="M184" i="20"/>
  <c r="N184" i="20"/>
  <c r="I185" i="20"/>
  <c r="J185" i="20"/>
  <c r="L185" i="20"/>
  <c r="M185" i="20"/>
  <c r="N185" i="20"/>
  <c r="I186" i="20"/>
  <c r="J186" i="20"/>
  <c r="L186" i="20"/>
  <c r="M186" i="20"/>
  <c r="N186" i="20"/>
  <c r="I187" i="20"/>
  <c r="J187" i="20"/>
  <c r="L187" i="20"/>
  <c r="M187" i="20"/>
  <c r="N187" i="20"/>
  <c r="I188" i="20"/>
  <c r="J188" i="20"/>
  <c r="L188" i="20"/>
  <c r="M188" i="20"/>
  <c r="N188" i="20"/>
  <c r="I189" i="20"/>
  <c r="J189" i="20"/>
  <c r="L189" i="20"/>
  <c r="M189" i="20"/>
  <c r="N189" i="20"/>
  <c r="J63" i="21"/>
  <c r="J64" i="21" s="1"/>
  <c r="I12" i="6"/>
  <c r="J12" i="6"/>
  <c r="L12" i="6"/>
  <c r="M12" i="6"/>
  <c r="N12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J27" i="21"/>
  <c r="J28" i="21" s="1"/>
  <c r="J29" i="21" s="1"/>
  <c r="J74" i="21"/>
  <c r="J15" i="21"/>
  <c r="J16" i="21" s="1"/>
  <c r="I9" i="20"/>
  <c r="J9" i="20"/>
  <c r="L9" i="20"/>
  <c r="M9" i="20"/>
  <c r="N9" i="20"/>
  <c r="I98" i="4"/>
  <c r="I99" i="4"/>
  <c r="J98" i="4"/>
  <c r="J99" i="4"/>
  <c r="L98" i="4"/>
  <c r="L99" i="4"/>
  <c r="M98" i="4"/>
  <c r="M99" i="4"/>
  <c r="N98" i="4"/>
  <c r="N99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59" i="4"/>
  <c r="J59" i="4"/>
  <c r="L16" i="6"/>
  <c r="L17" i="6"/>
  <c r="L18" i="6"/>
  <c r="L19" i="6"/>
  <c r="L20" i="6"/>
  <c r="L21" i="6"/>
  <c r="M16" i="6"/>
  <c r="M17" i="6"/>
  <c r="M18" i="6"/>
  <c r="M19" i="6"/>
  <c r="M20" i="6"/>
  <c r="M21" i="6"/>
  <c r="N16" i="6"/>
  <c r="N17" i="6"/>
  <c r="N18" i="6"/>
  <c r="N19" i="6"/>
  <c r="N20" i="6"/>
  <c r="N21" i="6"/>
  <c r="I16" i="6"/>
  <c r="J16" i="6"/>
  <c r="I17" i="6"/>
  <c r="J17" i="6"/>
  <c r="I18" i="6"/>
  <c r="J18" i="6"/>
  <c r="I19" i="6"/>
  <c r="J19" i="6"/>
  <c r="I20" i="6"/>
  <c r="J20" i="6"/>
  <c r="I21" i="6"/>
  <c r="J21" i="6"/>
  <c r="L60" i="4"/>
  <c r="L61" i="4"/>
  <c r="L62" i="4"/>
  <c r="L63" i="4"/>
  <c r="L64" i="4"/>
  <c r="M60" i="4"/>
  <c r="M61" i="4"/>
  <c r="M62" i="4"/>
  <c r="M63" i="4"/>
  <c r="M64" i="4"/>
  <c r="N60" i="4"/>
  <c r="N61" i="4"/>
  <c r="N62" i="4"/>
  <c r="N63" i="4"/>
  <c r="N64" i="4"/>
  <c r="L68" i="4"/>
  <c r="M68" i="4"/>
  <c r="N68" i="4"/>
  <c r="I11" i="6" l="1"/>
  <c r="J11" i="6"/>
  <c r="I13" i="6"/>
  <c r="J13" i="6"/>
  <c r="I14" i="6"/>
  <c r="J14" i="6"/>
  <c r="I15" i="6"/>
  <c r="J15" i="6"/>
  <c r="L11" i="6"/>
  <c r="L13" i="6"/>
  <c r="L14" i="6"/>
  <c r="L15" i="6"/>
  <c r="M11" i="6"/>
  <c r="M13" i="6"/>
  <c r="M14" i="6"/>
  <c r="M15" i="6"/>
  <c r="N11" i="6"/>
  <c r="N13" i="6"/>
  <c r="N14" i="6"/>
  <c r="N15" i="6"/>
  <c r="I10" i="6"/>
  <c r="J10" i="6"/>
  <c r="L10" i="6"/>
  <c r="M10" i="6"/>
  <c r="N10" i="6"/>
  <c r="L56" i="20"/>
  <c r="M56" i="20"/>
  <c r="N56" i="20"/>
  <c r="L30" i="20"/>
  <c r="M30" i="20"/>
  <c r="N30" i="20"/>
  <c r="I145" i="20" l="1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7" i="20"/>
  <c r="L58" i="20"/>
  <c r="L59" i="20"/>
  <c r="L60" i="20"/>
  <c r="L61" i="20"/>
  <c r="L62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15" i="20"/>
  <c r="L116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7" i="20"/>
  <c r="M58" i="20"/>
  <c r="M59" i="20"/>
  <c r="M60" i="20"/>
  <c r="M61" i="20"/>
  <c r="M62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15" i="20"/>
  <c r="M116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7" i="20"/>
  <c r="N58" i="20"/>
  <c r="N59" i="20"/>
  <c r="N60" i="20"/>
  <c r="N61" i="20"/>
  <c r="N62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15" i="20"/>
  <c r="N116" i="20"/>
  <c r="I13" i="20"/>
  <c r="J13" i="20"/>
  <c r="L13" i="20"/>
  <c r="M13" i="20"/>
  <c r="N13" i="20"/>
  <c r="I12" i="20"/>
  <c r="J12" i="20"/>
  <c r="L12" i="20"/>
  <c r="M12" i="20"/>
  <c r="N12" i="20"/>
  <c r="I11" i="20"/>
  <c r="J11" i="20"/>
  <c r="L11" i="20"/>
  <c r="M11" i="20"/>
  <c r="N11" i="20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7" i="4"/>
  <c r="L58" i="4"/>
  <c r="L59" i="4"/>
  <c r="L65" i="4"/>
  <c r="L66" i="4"/>
  <c r="L67" i="4"/>
  <c r="L69" i="4"/>
  <c r="L70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7" i="4"/>
  <c r="M58" i="4"/>
  <c r="M59" i="4"/>
  <c r="M65" i="4"/>
  <c r="M66" i="4"/>
  <c r="M67" i="4"/>
  <c r="M69" i="4"/>
  <c r="M70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7" i="4"/>
  <c r="N58" i="4"/>
  <c r="N59" i="4"/>
  <c r="N65" i="4"/>
  <c r="N66" i="4"/>
  <c r="N67" i="4"/>
  <c r="N69" i="4"/>
  <c r="N70" i="4"/>
  <c r="I37" i="4"/>
  <c r="J37" i="4"/>
  <c r="L37" i="4"/>
  <c r="M37" i="4"/>
  <c r="N37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I11" i="4"/>
  <c r="J11" i="4"/>
  <c r="L11" i="4"/>
  <c r="M11" i="4"/>
  <c r="N11" i="4"/>
  <c r="I10" i="20" l="1"/>
  <c r="J10" i="20"/>
  <c r="L10" i="20"/>
  <c r="M10" i="20"/>
  <c r="N10" i="20"/>
  <c r="I9" i="6"/>
  <c r="J9" i="6"/>
  <c r="L9" i="6"/>
  <c r="M9" i="6"/>
  <c r="N9" i="6"/>
  <c r="I9" i="4"/>
  <c r="J9" i="4"/>
  <c r="L9" i="4"/>
  <c r="M9" i="4"/>
  <c r="N9" i="4"/>
  <c r="AL45" i="1" l="1"/>
  <c r="AL53" i="1"/>
  <c r="AL49" i="1"/>
  <c r="AL56" i="1"/>
  <c r="AL52" i="1"/>
  <c r="AL48" i="1"/>
  <c r="AL55" i="1"/>
  <c r="AL51" i="1"/>
  <c r="AL47" i="1"/>
  <c r="AL54" i="1"/>
  <c r="AL50" i="1"/>
  <c r="AL46" i="1"/>
  <c r="AL57" i="1" l="1"/>
  <c r="B100" i="1" l="1"/>
  <c r="B101" i="1"/>
  <c r="B102" i="1"/>
  <c r="B103" i="1"/>
  <c r="B104" i="1"/>
  <c r="B89" i="1"/>
  <c r="B90" i="1"/>
  <c r="B91" i="1"/>
  <c r="B92" i="1"/>
  <c r="B93" i="1"/>
  <c r="B94" i="1"/>
  <c r="B95" i="1"/>
  <c r="B96" i="1"/>
  <c r="B97" i="1"/>
  <c r="B98" i="1"/>
  <c r="B99" i="1"/>
  <c r="B77" i="1"/>
  <c r="B78" i="1"/>
  <c r="B79" i="1"/>
  <c r="B80" i="1"/>
  <c r="B81" i="1"/>
  <c r="B82" i="1"/>
  <c r="B83" i="1"/>
  <c r="B84" i="1"/>
  <c r="B85" i="1"/>
  <c r="B86" i="1"/>
  <c r="B87" i="1"/>
  <c r="B88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60" i="1"/>
  <c r="H5" i="20" l="1"/>
  <c r="F5" i="20"/>
  <c r="D5" i="20"/>
  <c r="AL32" i="1" l="1"/>
  <c r="AL33" i="1"/>
  <c r="AL34" i="1"/>
  <c r="AL35" i="1"/>
  <c r="AL36" i="1"/>
  <c r="AL37" i="1"/>
  <c r="AL38" i="1"/>
  <c r="AL39" i="1"/>
  <c r="AL40" i="1"/>
  <c r="AL41" i="1"/>
  <c r="AL31" i="1"/>
  <c r="AL30" i="1" l="1"/>
  <c r="AO30" i="1" s="1"/>
  <c r="AO31" i="1" s="1"/>
  <c r="AO32" i="1" s="1"/>
  <c r="AL26" i="1"/>
  <c r="AL25" i="1"/>
  <c r="AL24" i="1"/>
  <c r="AL23" i="1"/>
  <c r="AL22" i="1"/>
  <c r="AL21" i="1"/>
  <c r="AL20" i="1"/>
  <c r="AL19" i="1"/>
  <c r="AL18" i="1"/>
  <c r="AL17" i="1"/>
  <c r="AL16" i="1"/>
  <c r="AL42" i="1" l="1"/>
  <c r="AO33" i="1"/>
  <c r="AL15" i="1"/>
  <c r="AO34" i="1" l="1"/>
  <c r="AO15" i="1"/>
  <c r="AL27" i="1"/>
  <c r="AO35" i="1" l="1"/>
  <c r="AO16" i="1"/>
  <c r="AO36" i="1" l="1"/>
  <c r="AO17" i="1"/>
  <c r="H5" i="6"/>
  <c r="H5" i="4"/>
  <c r="F5" i="6"/>
  <c r="D5" i="6"/>
  <c r="D5" i="4"/>
  <c r="AO37" i="1" l="1"/>
  <c r="AO18" i="1"/>
  <c r="F5" i="4"/>
  <c r="AO38" i="1" l="1"/>
  <c r="AO19" i="1"/>
  <c r="AO39" i="1" l="1"/>
  <c r="AO20" i="1"/>
  <c r="AO40" i="1" l="1"/>
  <c r="AO21" i="1"/>
  <c r="AO41" i="1" l="1"/>
  <c r="AO22" i="1"/>
  <c r="AO42" i="1" l="1"/>
  <c r="AO23" i="1"/>
  <c r="AO24" i="1" l="1"/>
  <c r="AO25" i="1" l="1"/>
  <c r="AO26" i="1" l="1"/>
  <c r="AO27" i="1" l="1"/>
  <c r="Q18" i="1" l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B48" i="1"/>
  <c r="B49" i="1"/>
  <c r="B50" i="1"/>
  <c r="B51" i="1"/>
  <c r="B40" i="1"/>
  <c r="B41" i="1"/>
  <c r="B42" i="1"/>
  <c r="B43" i="1"/>
  <c r="B44" i="1"/>
  <c r="B45" i="1"/>
  <c r="B46" i="1"/>
  <c r="B47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19" i="1"/>
  <c r="B20" i="1"/>
  <c r="B21" i="1"/>
  <c r="B22" i="1"/>
  <c r="B23" i="1"/>
  <c r="B24" i="1"/>
  <c r="B25" i="1"/>
  <c r="B18" i="1"/>
  <c r="Q8" i="1" l="1"/>
  <c r="Q9" i="1"/>
  <c r="Q10" i="1"/>
  <c r="Q11" i="1"/>
  <c r="Q12" i="1"/>
  <c r="Q13" i="1"/>
  <c r="Q14" i="1"/>
  <c r="Q15" i="1"/>
  <c r="Q16" i="1"/>
  <c r="Q17" i="1"/>
  <c r="Q7" i="1"/>
  <c r="B8" i="1"/>
  <c r="B9" i="1"/>
  <c r="B10" i="1"/>
  <c r="B11" i="1"/>
  <c r="B12" i="1"/>
  <c r="B13" i="1"/>
  <c r="B14" i="1"/>
  <c r="B15" i="1"/>
  <c r="B16" i="1"/>
  <c r="B17" i="1"/>
  <c r="B7" i="1"/>
  <c r="AK45" i="1" l="1"/>
  <c r="AK30" i="1"/>
  <c r="AK15" i="1"/>
  <c r="AM3" i="1"/>
  <c r="AF4" i="1"/>
  <c r="R2" i="1"/>
  <c r="C2" i="1"/>
  <c r="AK31" i="1" l="1"/>
  <c r="AK46" i="1"/>
  <c r="AK16" i="1"/>
  <c r="AN3" i="1"/>
  <c r="AM5" i="1"/>
  <c r="AM4" i="1"/>
  <c r="AF5" i="1"/>
  <c r="C4" i="1"/>
  <c r="C3" i="1"/>
  <c r="R4" i="1"/>
  <c r="R3" i="1"/>
  <c r="D2" i="1"/>
  <c r="S2" i="1"/>
  <c r="C86" i="1" l="1"/>
  <c r="C94" i="1"/>
  <c r="C85" i="1"/>
  <c r="C63" i="1"/>
  <c r="C82" i="1"/>
  <c r="C97" i="1"/>
  <c r="C100" i="1"/>
  <c r="C84" i="1"/>
  <c r="C68" i="1"/>
  <c r="C99" i="1"/>
  <c r="C83" i="1"/>
  <c r="C67" i="1"/>
  <c r="C102" i="1"/>
  <c r="C69" i="1"/>
  <c r="C60" i="1"/>
  <c r="C89" i="1"/>
  <c r="C96" i="1"/>
  <c r="C64" i="1"/>
  <c r="C79" i="1"/>
  <c r="C70" i="1"/>
  <c r="C74" i="1"/>
  <c r="C80" i="1"/>
  <c r="C95" i="1"/>
  <c r="C61" i="1"/>
  <c r="C62" i="1"/>
  <c r="C78" i="1"/>
  <c r="C98" i="1"/>
  <c r="C66" i="1"/>
  <c r="C81" i="1"/>
  <c r="C92" i="1"/>
  <c r="C76" i="1"/>
  <c r="C91" i="1"/>
  <c r="C75" i="1"/>
  <c r="C93" i="1"/>
  <c r="C104" i="1"/>
  <c r="C103" i="1"/>
  <c r="C73" i="1"/>
  <c r="C87" i="1"/>
  <c r="C71" i="1"/>
  <c r="C90" i="1"/>
  <c r="C101" i="1"/>
  <c r="C65" i="1"/>
  <c r="C88" i="1"/>
  <c r="C77" i="1"/>
  <c r="C72" i="1"/>
  <c r="AK32" i="1"/>
  <c r="AK47" i="1"/>
  <c r="AK17" i="1"/>
  <c r="AO3" i="1"/>
  <c r="AO5" i="1" s="1"/>
  <c r="AN5" i="1"/>
  <c r="AN4" i="1"/>
  <c r="AF6" i="1"/>
  <c r="R19" i="1"/>
  <c r="R35" i="1"/>
  <c r="R51" i="1"/>
  <c r="R34" i="1"/>
  <c r="R24" i="1"/>
  <c r="R40" i="1"/>
  <c r="R18" i="1"/>
  <c r="R29" i="1"/>
  <c r="R45" i="1"/>
  <c r="R30" i="1"/>
  <c r="R28" i="1"/>
  <c r="R44" i="1"/>
  <c r="R26" i="1"/>
  <c r="R33" i="1"/>
  <c r="R49" i="1"/>
  <c r="R38" i="1"/>
  <c r="R27" i="1"/>
  <c r="R43" i="1"/>
  <c r="R32" i="1"/>
  <c r="R48" i="1"/>
  <c r="R42" i="1"/>
  <c r="R21" i="1"/>
  <c r="R37" i="1"/>
  <c r="R31" i="1"/>
  <c r="R22" i="1"/>
  <c r="R20" i="1"/>
  <c r="R41" i="1"/>
  <c r="R23" i="1"/>
  <c r="R39" i="1"/>
  <c r="R46" i="1"/>
  <c r="R47" i="1"/>
  <c r="R36" i="1"/>
  <c r="R50" i="1"/>
  <c r="R25" i="1"/>
  <c r="T2" i="1"/>
  <c r="E2" i="1"/>
  <c r="R7" i="1"/>
  <c r="R12" i="1"/>
  <c r="R16" i="1"/>
  <c r="R10" i="1"/>
  <c r="R11" i="1"/>
  <c r="R17" i="1"/>
  <c r="R13" i="1"/>
  <c r="R15" i="1"/>
  <c r="R9" i="1"/>
  <c r="R14" i="1"/>
  <c r="R8" i="1"/>
  <c r="S4" i="1"/>
  <c r="S3" i="1"/>
  <c r="D4" i="1"/>
  <c r="D3" i="1"/>
  <c r="AK33" i="1" l="1"/>
  <c r="AK48" i="1"/>
  <c r="D78" i="1"/>
  <c r="D74" i="1"/>
  <c r="D83" i="1"/>
  <c r="D62" i="1"/>
  <c r="D86" i="1"/>
  <c r="D70" i="1"/>
  <c r="D72" i="1"/>
  <c r="D69" i="1"/>
  <c r="D68" i="1"/>
  <c r="D64" i="1"/>
  <c r="D98" i="1"/>
  <c r="D101" i="1"/>
  <c r="D85" i="1"/>
  <c r="D61" i="1"/>
  <c r="D75" i="1"/>
  <c r="D71" i="1"/>
  <c r="D94" i="1"/>
  <c r="D97" i="1"/>
  <c r="D81" i="1"/>
  <c r="D87" i="1"/>
  <c r="D67" i="1"/>
  <c r="D90" i="1"/>
  <c r="D93" i="1"/>
  <c r="D77" i="1"/>
  <c r="D66" i="1"/>
  <c r="D99" i="1"/>
  <c r="D104" i="1"/>
  <c r="D88" i="1"/>
  <c r="D65" i="1"/>
  <c r="D89" i="1"/>
  <c r="D76" i="1"/>
  <c r="D73" i="1"/>
  <c r="D63" i="1"/>
  <c r="D95" i="1"/>
  <c r="D100" i="1"/>
  <c r="D84" i="1"/>
  <c r="D92" i="1"/>
  <c r="D79" i="1"/>
  <c r="D102" i="1"/>
  <c r="D91" i="1"/>
  <c r="D96" i="1"/>
  <c r="D80" i="1"/>
  <c r="D60" i="1"/>
  <c r="D82" i="1"/>
  <c r="D103" i="1"/>
  <c r="AI4" i="1"/>
  <c r="AO4" i="1"/>
  <c r="AK18" i="1"/>
  <c r="AP3" i="1"/>
  <c r="AP4" i="1" s="1"/>
  <c r="AF7" i="1"/>
  <c r="S18" i="1"/>
  <c r="S21" i="1"/>
  <c r="S37" i="1"/>
  <c r="S20" i="1"/>
  <c r="S26" i="1"/>
  <c r="S42" i="1"/>
  <c r="S31" i="1"/>
  <c r="S47" i="1"/>
  <c r="S35" i="1"/>
  <c r="S51" i="1"/>
  <c r="S28" i="1"/>
  <c r="S29" i="1"/>
  <c r="S45" i="1"/>
  <c r="S44" i="1"/>
  <c r="S34" i="1"/>
  <c r="S50" i="1"/>
  <c r="S24" i="1"/>
  <c r="S23" i="1"/>
  <c r="S39" i="1"/>
  <c r="S40" i="1"/>
  <c r="S33" i="1"/>
  <c r="S22" i="1"/>
  <c r="S36" i="1"/>
  <c r="S43" i="1"/>
  <c r="S19" i="1"/>
  <c r="S25" i="1"/>
  <c r="S41" i="1"/>
  <c r="S32" i="1"/>
  <c r="S30" i="1"/>
  <c r="S46" i="1"/>
  <c r="S49" i="1"/>
  <c r="S38" i="1"/>
  <c r="S27" i="1"/>
  <c r="S48" i="1"/>
  <c r="E4" i="1"/>
  <c r="E3" i="1"/>
  <c r="S9" i="1"/>
  <c r="S16" i="1"/>
  <c r="S11" i="1"/>
  <c r="S8" i="1"/>
  <c r="S13" i="1"/>
  <c r="S10" i="1"/>
  <c r="S15" i="1"/>
  <c r="S7" i="1"/>
  <c r="S17" i="1"/>
  <c r="S14" i="1"/>
  <c r="S12" i="1"/>
  <c r="T4" i="1"/>
  <c r="T3" i="1"/>
  <c r="U2" i="1"/>
  <c r="F2" i="1"/>
  <c r="AK34" i="1" l="1"/>
  <c r="AK49" i="1"/>
  <c r="AP5" i="1"/>
  <c r="E70" i="1"/>
  <c r="E93" i="1"/>
  <c r="E89" i="1"/>
  <c r="E82" i="1"/>
  <c r="E98" i="1"/>
  <c r="E67" i="1"/>
  <c r="E83" i="1"/>
  <c r="E85" i="1"/>
  <c r="E66" i="1"/>
  <c r="E62" i="1"/>
  <c r="E61" i="1"/>
  <c r="E81" i="1"/>
  <c r="E79" i="1"/>
  <c r="E72" i="1"/>
  <c r="E80" i="1"/>
  <c r="E97" i="1"/>
  <c r="E94" i="1"/>
  <c r="E91" i="1"/>
  <c r="E103" i="1"/>
  <c r="E75" i="1"/>
  <c r="E101" i="1"/>
  <c r="E74" i="1"/>
  <c r="E68" i="1"/>
  <c r="E87" i="1"/>
  <c r="E86" i="1"/>
  <c r="E76" i="1"/>
  <c r="E65" i="1"/>
  <c r="E95" i="1"/>
  <c r="E69" i="1"/>
  <c r="E64" i="1"/>
  <c r="E88" i="1"/>
  <c r="E78" i="1"/>
  <c r="E84" i="1"/>
  <c r="E90" i="1"/>
  <c r="E96" i="1"/>
  <c r="E60" i="1"/>
  <c r="E102" i="1"/>
  <c r="E63" i="1"/>
  <c r="E92" i="1"/>
  <c r="E104" i="1"/>
  <c r="E99" i="1"/>
  <c r="E71" i="1"/>
  <c r="E77" i="1"/>
  <c r="E100" i="1"/>
  <c r="E73" i="1"/>
  <c r="AH4" i="1"/>
  <c r="AM7" i="1"/>
  <c r="AM45" i="1"/>
  <c r="AI5" i="1"/>
  <c r="AM30" i="1"/>
  <c r="AK19" i="1"/>
  <c r="AQ3" i="1"/>
  <c r="AQ4" i="1" s="1"/>
  <c r="AF8" i="1"/>
  <c r="T20" i="1"/>
  <c r="T36" i="1"/>
  <c r="T33" i="1"/>
  <c r="T49" i="1"/>
  <c r="T26" i="1"/>
  <c r="T42" i="1"/>
  <c r="T35" i="1"/>
  <c r="T39" i="1"/>
  <c r="T23" i="1"/>
  <c r="T51" i="1"/>
  <c r="T28" i="1"/>
  <c r="T44" i="1"/>
  <c r="T25" i="1"/>
  <c r="T41" i="1"/>
  <c r="T18" i="1"/>
  <c r="T34" i="1"/>
  <c r="T50" i="1"/>
  <c r="T27" i="1"/>
  <c r="T47" i="1"/>
  <c r="T32" i="1"/>
  <c r="T48" i="1"/>
  <c r="T29" i="1"/>
  <c r="T45" i="1"/>
  <c r="T22" i="1"/>
  <c r="T19" i="1"/>
  <c r="T24" i="1"/>
  <c r="T40" i="1"/>
  <c r="T21" i="1"/>
  <c r="T37" i="1"/>
  <c r="T30" i="1"/>
  <c r="T46" i="1"/>
  <c r="T31" i="1"/>
  <c r="T38" i="1"/>
  <c r="T43" i="1"/>
  <c r="V2" i="1"/>
  <c r="G2" i="1"/>
  <c r="T16" i="1"/>
  <c r="T17" i="1"/>
  <c r="T11" i="1"/>
  <c r="T15" i="1"/>
  <c r="T10" i="1"/>
  <c r="T12" i="1"/>
  <c r="T8" i="1"/>
  <c r="T9" i="1"/>
  <c r="T14" i="1"/>
  <c r="T13" i="1"/>
  <c r="T7" i="1"/>
  <c r="F3" i="1"/>
  <c r="F4" i="1"/>
  <c r="U4" i="1"/>
  <c r="U3" i="1"/>
  <c r="AQ5" i="1" l="1"/>
  <c r="F78" i="1"/>
  <c r="F62" i="1"/>
  <c r="F90" i="1"/>
  <c r="F63" i="1"/>
  <c r="F102" i="1"/>
  <c r="F75" i="1"/>
  <c r="F83" i="1"/>
  <c r="F99" i="1"/>
  <c r="F98" i="1"/>
  <c r="F76" i="1"/>
  <c r="F86" i="1"/>
  <c r="F103" i="1"/>
  <c r="F79" i="1"/>
  <c r="F100" i="1"/>
  <c r="F94" i="1"/>
  <c r="F92" i="1"/>
  <c r="F71" i="1"/>
  <c r="F74" i="1"/>
  <c r="F70" i="1"/>
  <c r="F95" i="1"/>
  <c r="F88" i="1"/>
  <c r="F84" i="1"/>
  <c r="F72" i="1"/>
  <c r="F87" i="1"/>
  <c r="F66" i="1"/>
  <c r="F67" i="1"/>
  <c r="F93" i="1"/>
  <c r="F69" i="1"/>
  <c r="F81" i="1"/>
  <c r="F96" i="1"/>
  <c r="F73" i="1"/>
  <c r="F89" i="1"/>
  <c r="F65" i="1"/>
  <c r="F77" i="1"/>
  <c r="F91" i="1"/>
  <c r="F82" i="1"/>
  <c r="F64" i="1"/>
  <c r="F104" i="1"/>
  <c r="F101" i="1"/>
  <c r="F60" i="1"/>
  <c r="F61" i="1"/>
  <c r="F80" i="1"/>
  <c r="F68" i="1"/>
  <c r="F97" i="1"/>
  <c r="F85" i="1"/>
  <c r="AK35" i="1"/>
  <c r="AK50" i="1"/>
  <c r="AM46" i="1"/>
  <c r="AN46" i="1" s="1"/>
  <c r="AH5" i="1"/>
  <c r="AN7" i="1"/>
  <c r="AN45" i="1"/>
  <c r="AI6" i="1"/>
  <c r="AM31" i="1"/>
  <c r="AN31" i="1" s="1"/>
  <c r="AP30" i="1"/>
  <c r="AN30" i="1"/>
  <c r="AK20" i="1"/>
  <c r="AR3" i="1"/>
  <c r="AR5" i="1" s="1"/>
  <c r="AF9" i="1"/>
  <c r="U22" i="1"/>
  <c r="U38" i="1"/>
  <c r="U19" i="1"/>
  <c r="U35" i="1"/>
  <c r="U51" i="1"/>
  <c r="U28" i="1"/>
  <c r="U44" i="1"/>
  <c r="U29" i="1"/>
  <c r="U49" i="1"/>
  <c r="U21" i="1"/>
  <c r="U30" i="1"/>
  <c r="U46" i="1"/>
  <c r="U27" i="1"/>
  <c r="U43" i="1"/>
  <c r="U20" i="1"/>
  <c r="U36" i="1"/>
  <c r="U37" i="1"/>
  <c r="U18" i="1"/>
  <c r="U34" i="1"/>
  <c r="U50" i="1"/>
  <c r="U31" i="1"/>
  <c r="U47" i="1"/>
  <c r="U24" i="1"/>
  <c r="U25" i="1"/>
  <c r="U26" i="1"/>
  <c r="U42" i="1"/>
  <c r="U23" i="1"/>
  <c r="U39" i="1"/>
  <c r="U32" i="1"/>
  <c r="U48" i="1"/>
  <c r="U45" i="1"/>
  <c r="U40" i="1"/>
  <c r="U41" i="1"/>
  <c r="U33" i="1"/>
  <c r="W2" i="1"/>
  <c r="H2" i="1"/>
  <c r="U11" i="1"/>
  <c r="U12" i="1"/>
  <c r="U13" i="1"/>
  <c r="U15" i="1"/>
  <c r="U16" i="1"/>
  <c r="U17" i="1"/>
  <c r="U8" i="1"/>
  <c r="U14" i="1"/>
  <c r="U7" i="1"/>
  <c r="U10" i="1"/>
  <c r="U9" i="1"/>
  <c r="G4" i="1"/>
  <c r="G3" i="1"/>
  <c r="V4" i="1"/>
  <c r="V3" i="1"/>
  <c r="AR4" i="1" l="1"/>
  <c r="G93" i="1"/>
  <c r="G87" i="1"/>
  <c r="G73" i="1"/>
  <c r="G71" i="1"/>
  <c r="G84" i="1"/>
  <c r="G91" i="1"/>
  <c r="G81" i="1"/>
  <c r="G92" i="1"/>
  <c r="G98" i="1"/>
  <c r="G96" i="1"/>
  <c r="G69" i="1"/>
  <c r="G74" i="1"/>
  <c r="G66" i="1"/>
  <c r="G89" i="1"/>
  <c r="G76" i="1"/>
  <c r="G65" i="1"/>
  <c r="G94" i="1"/>
  <c r="G85" i="1"/>
  <c r="G64" i="1"/>
  <c r="G82" i="1"/>
  <c r="G79" i="1"/>
  <c r="G90" i="1"/>
  <c r="G102" i="1"/>
  <c r="G80" i="1"/>
  <c r="G70" i="1"/>
  <c r="G62" i="1"/>
  <c r="G68" i="1"/>
  <c r="G60" i="1"/>
  <c r="G97" i="1"/>
  <c r="G103" i="1"/>
  <c r="G100" i="1"/>
  <c r="G104" i="1"/>
  <c r="G77" i="1"/>
  <c r="G86" i="1"/>
  <c r="G101" i="1"/>
  <c r="G95" i="1"/>
  <c r="G75" i="1"/>
  <c r="G63" i="1"/>
  <c r="G99" i="1"/>
  <c r="G72" i="1"/>
  <c r="G78" i="1"/>
  <c r="G88" i="1"/>
  <c r="G67" i="1"/>
  <c r="G83" i="1"/>
  <c r="G61" i="1"/>
  <c r="AK36" i="1"/>
  <c r="AK51" i="1"/>
  <c r="AM47" i="1"/>
  <c r="AN47" i="1" s="1"/>
  <c r="AH6" i="1"/>
  <c r="AO7" i="1"/>
  <c r="AI7" i="1"/>
  <c r="AM32" i="1"/>
  <c r="AP31" i="1"/>
  <c r="AK21" i="1"/>
  <c r="AS3" i="1"/>
  <c r="AS5" i="1" s="1"/>
  <c r="AF10" i="1"/>
  <c r="V24" i="1"/>
  <c r="V40" i="1"/>
  <c r="V21" i="1"/>
  <c r="V37" i="1"/>
  <c r="V30" i="1"/>
  <c r="V46" i="1"/>
  <c r="V19" i="1"/>
  <c r="V43" i="1"/>
  <c r="V39" i="1"/>
  <c r="V32" i="1"/>
  <c r="V48" i="1"/>
  <c r="V29" i="1"/>
  <c r="V45" i="1"/>
  <c r="V22" i="1"/>
  <c r="V38" i="1"/>
  <c r="V31" i="1"/>
  <c r="V27" i="1"/>
  <c r="V51" i="1"/>
  <c r="V20" i="1"/>
  <c r="V36" i="1"/>
  <c r="V33" i="1"/>
  <c r="V26" i="1"/>
  <c r="V47" i="1"/>
  <c r="V28" i="1"/>
  <c r="V44" i="1"/>
  <c r="V25" i="1"/>
  <c r="V41" i="1"/>
  <c r="V18" i="1"/>
  <c r="V34" i="1"/>
  <c r="V50" i="1"/>
  <c r="V35" i="1"/>
  <c r="V49" i="1"/>
  <c r="V42" i="1"/>
  <c r="V23" i="1"/>
  <c r="V17" i="1"/>
  <c r="V14" i="1"/>
  <c r="V8" i="1"/>
  <c r="V12" i="1"/>
  <c r="V16" i="1"/>
  <c r="V10" i="1"/>
  <c r="V9" i="1"/>
  <c r="V7" i="1"/>
  <c r="V11" i="1"/>
  <c r="V13" i="1"/>
  <c r="V15" i="1"/>
  <c r="H3" i="1"/>
  <c r="H4" i="1"/>
  <c r="W4" i="1"/>
  <c r="W3" i="1"/>
  <c r="X2" i="1"/>
  <c r="I2" i="1"/>
  <c r="AK37" i="1" l="1"/>
  <c r="AK52" i="1"/>
  <c r="H71" i="1"/>
  <c r="H93" i="1"/>
  <c r="H94" i="1"/>
  <c r="H92" i="1"/>
  <c r="H101" i="1"/>
  <c r="H87" i="1"/>
  <c r="H68" i="1"/>
  <c r="H70" i="1"/>
  <c r="H62" i="1"/>
  <c r="H102" i="1"/>
  <c r="H67" i="1"/>
  <c r="H104" i="1"/>
  <c r="H89" i="1"/>
  <c r="H83" i="1"/>
  <c r="H78" i="1"/>
  <c r="H97" i="1"/>
  <c r="H64" i="1"/>
  <c r="H60" i="1"/>
  <c r="H98" i="1"/>
  <c r="H74" i="1"/>
  <c r="H66" i="1"/>
  <c r="H86" i="1"/>
  <c r="H100" i="1"/>
  <c r="H82" i="1"/>
  <c r="H99" i="1"/>
  <c r="H91" i="1"/>
  <c r="H73" i="1"/>
  <c r="H85" i="1"/>
  <c r="H96" i="1"/>
  <c r="H63" i="1"/>
  <c r="H95" i="1"/>
  <c r="H80" i="1"/>
  <c r="H69" i="1"/>
  <c r="H81" i="1"/>
  <c r="H90" i="1"/>
  <c r="H61" i="1"/>
  <c r="H88" i="1"/>
  <c r="H76" i="1"/>
  <c r="H103" i="1"/>
  <c r="H65" i="1"/>
  <c r="H77" i="1"/>
  <c r="H84" i="1"/>
  <c r="H79" i="1"/>
  <c r="H72" i="1"/>
  <c r="H75" i="1"/>
  <c r="AM48" i="1"/>
  <c r="AN48" i="1" s="1"/>
  <c r="AH7" i="1"/>
  <c r="AP7" i="1"/>
  <c r="AI8" i="1"/>
  <c r="AS4" i="1"/>
  <c r="AM33" i="1"/>
  <c r="AN33" i="1" s="1"/>
  <c r="AP32" i="1"/>
  <c r="AN32" i="1"/>
  <c r="AK22" i="1"/>
  <c r="AT3" i="1"/>
  <c r="AT5" i="1" s="1"/>
  <c r="AF11" i="1"/>
  <c r="W26" i="1"/>
  <c r="W42" i="1"/>
  <c r="W23" i="1"/>
  <c r="W39" i="1"/>
  <c r="W32" i="1"/>
  <c r="W48" i="1"/>
  <c r="W33" i="1"/>
  <c r="W25" i="1"/>
  <c r="W18" i="1"/>
  <c r="W34" i="1"/>
  <c r="W50" i="1"/>
  <c r="W31" i="1"/>
  <c r="W47" i="1"/>
  <c r="W24" i="1"/>
  <c r="W40" i="1"/>
  <c r="W21" i="1"/>
  <c r="W41" i="1"/>
  <c r="W29" i="1"/>
  <c r="W22" i="1"/>
  <c r="W38" i="1"/>
  <c r="W19" i="1"/>
  <c r="W35" i="1"/>
  <c r="W51" i="1"/>
  <c r="W28" i="1"/>
  <c r="W37" i="1"/>
  <c r="W30" i="1"/>
  <c r="W46" i="1"/>
  <c r="W27" i="1"/>
  <c r="W43" i="1"/>
  <c r="W20" i="1"/>
  <c r="W36" i="1"/>
  <c r="W49" i="1"/>
  <c r="W44" i="1"/>
  <c r="W45" i="1"/>
  <c r="W15" i="1"/>
  <c r="W16" i="1"/>
  <c r="W17" i="1"/>
  <c r="W14" i="1"/>
  <c r="W10" i="1"/>
  <c r="W11" i="1"/>
  <c r="W13" i="1"/>
  <c r="W7" i="1"/>
  <c r="W8" i="1"/>
  <c r="W9" i="1"/>
  <c r="W12" i="1"/>
  <c r="I4" i="1"/>
  <c r="I3" i="1"/>
  <c r="X4" i="1"/>
  <c r="X3" i="1"/>
  <c r="Y2" i="1"/>
  <c r="J2" i="1"/>
  <c r="I97" i="1" l="1"/>
  <c r="I75" i="1"/>
  <c r="I79" i="1"/>
  <c r="I104" i="1"/>
  <c r="I60" i="1"/>
  <c r="I64" i="1"/>
  <c r="I74" i="1"/>
  <c r="I66" i="1"/>
  <c r="I86" i="1"/>
  <c r="I99" i="1"/>
  <c r="I80" i="1"/>
  <c r="I67" i="1"/>
  <c r="I81" i="1"/>
  <c r="I96" i="1"/>
  <c r="I63" i="1"/>
  <c r="I98" i="1"/>
  <c r="I92" i="1"/>
  <c r="I82" i="1"/>
  <c r="I100" i="1"/>
  <c r="I87" i="1"/>
  <c r="I84" i="1"/>
  <c r="I94" i="1"/>
  <c r="I72" i="1"/>
  <c r="I70" i="1"/>
  <c r="I62" i="1"/>
  <c r="I93" i="1"/>
  <c r="I101" i="1"/>
  <c r="I89" i="1"/>
  <c r="I90" i="1"/>
  <c r="I103" i="1"/>
  <c r="I77" i="1"/>
  <c r="I71" i="1"/>
  <c r="I68" i="1"/>
  <c r="I69" i="1"/>
  <c r="I73" i="1"/>
  <c r="I102" i="1"/>
  <c r="I78" i="1"/>
  <c r="I61" i="1"/>
  <c r="I88" i="1"/>
  <c r="I91" i="1"/>
  <c r="I83" i="1"/>
  <c r="I95" i="1"/>
  <c r="I85" i="1"/>
  <c r="I76" i="1"/>
  <c r="I65" i="1"/>
  <c r="AK38" i="1"/>
  <c r="AK53" i="1"/>
  <c r="AH8" i="1"/>
  <c r="AQ7" i="1"/>
  <c r="AM49" i="1"/>
  <c r="AI9" i="1"/>
  <c r="AP33" i="1"/>
  <c r="AM34" i="1"/>
  <c r="AT4" i="1"/>
  <c r="AK23" i="1"/>
  <c r="AU3" i="1"/>
  <c r="AU4" i="1" s="1"/>
  <c r="AF12" i="1"/>
  <c r="X28" i="1"/>
  <c r="X44" i="1"/>
  <c r="X25" i="1"/>
  <c r="X41" i="1"/>
  <c r="X18" i="1"/>
  <c r="X34" i="1"/>
  <c r="X50" i="1"/>
  <c r="X23" i="1"/>
  <c r="X43" i="1"/>
  <c r="X31" i="1"/>
  <c r="X20" i="1"/>
  <c r="X36" i="1"/>
  <c r="X33" i="1"/>
  <c r="X49" i="1"/>
  <c r="X26" i="1"/>
  <c r="X42" i="1"/>
  <c r="X35" i="1"/>
  <c r="X24" i="1"/>
  <c r="X40" i="1"/>
  <c r="X21" i="1"/>
  <c r="X37" i="1"/>
  <c r="X30" i="1"/>
  <c r="X27" i="1"/>
  <c r="X32" i="1"/>
  <c r="X48" i="1"/>
  <c r="X29" i="1"/>
  <c r="X45" i="1"/>
  <c r="X22" i="1"/>
  <c r="X38" i="1"/>
  <c r="X19" i="1"/>
  <c r="X47" i="1"/>
  <c r="X39" i="1"/>
  <c r="X46" i="1"/>
  <c r="X51" i="1"/>
  <c r="K2" i="1"/>
  <c r="Z2" i="1"/>
  <c r="J3" i="1"/>
  <c r="J4" i="1"/>
  <c r="X7" i="1"/>
  <c r="X17" i="1"/>
  <c r="X8" i="1"/>
  <c r="X9" i="1"/>
  <c r="X10" i="1"/>
  <c r="X11" i="1"/>
  <c r="X12" i="1"/>
  <c r="X14" i="1"/>
  <c r="X15" i="1"/>
  <c r="X16" i="1"/>
  <c r="X13" i="1"/>
  <c r="Y4" i="1"/>
  <c r="Y3" i="1"/>
  <c r="AU5" i="1" l="1"/>
  <c r="AK39" i="1"/>
  <c r="AK54" i="1"/>
  <c r="J86" i="1"/>
  <c r="J89" i="1"/>
  <c r="J76" i="1"/>
  <c r="J87" i="1"/>
  <c r="J82" i="1"/>
  <c r="J102" i="1"/>
  <c r="J64" i="1"/>
  <c r="J90" i="1"/>
  <c r="J77" i="1"/>
  <c r="J71" i="1"/>
  <c r="J83" i="1"/>
  <c r="J93" i="1"/>
  <c r="J88" i="1"/>
  <c r="J84" i="1"/>
  <c r="J94" i="1"/>
  <c r="J65" i="1"/>
  <c r="J101" i="1"/>
  <c r="J97" i="1"/>
  <c r="J75" i="1"/>
  <c r="J79" i="1"/>
  <c r="J60" i="1"/>
  <c r="J81" i="1"/>
  <c r="J72" i="1"/>
  <c r="J80" i="1"/>
  <c r="J99" i="1"/>
  <c r="J67" i="1"/>
  <c r="J73" i="1"/>
  <c r="J63" i="1"/>
  <c r="J66" i="1"/>
  <c r="J70" i="1"/>
  <c r="J68" i="1"/>
  <c r="J96" i="1"/>
  <c r="J92" i="1"/>
  <c r="J69" i="1"/>
  <c r="J61" i="1"/>
  <c r="J62" i="1"/>
  <c r="J74" i="1"/>
  <c r="J95" i="1"/>
  <c r="J91" i="1"/>
  <c r="J104" i="1"/>
  <c r="J100" i="1"/>
  <c r="J78" i="1"/>
  <c r="J103" i="1"/>
  <c r="J98" i="1"/>
  <c r="J85" i="1"/>
  <c r="AH9" i="1"/>
  <c r="AR7" i="1"/>
  <c r="AM50" i="1"/>
  <c r="AN50" i="1" s="1"/>
  <c r="AN49" i="1"/>
  <c r="AI10" i="1"/>
  <c r="AM35" i="1"/>
  <c r="AN35" i="1" s="1"/>
  <c r="AP34" i="1"/>
  <c r="AN34" i="1"/>
  <c r="AK24" i="1"/>
  <c r="AV3" i="1"/>
  <c r="AV4" i="1" s="1"/>
  <c r="AF13" i="1"/>
  <c r="Y30" i="1"/>
  <c r="Y46" i="1"/>
  <c r="Y27" i="1"/>
  <c r="Y43" i="1"/>
  <c r="Y20" i="1"/>
  <c r="Y36" i="1"/>
  <c r="Y37" i="1"/>
  <c r="Y33" i="1"/>
  <c r="Y29" i="1"/>
  <c r="Y22" i="1"/>
  <c r="Y38" i="1"/>
  <c r="Y19" i="1"/>
  <c r="Y35" i="1"/>
  <c r="Y51" i="1"/>
  <c r="Y28" i="1"/>
  <c r="Y44" i="1"/>
  <c r="Y25" i="1"/>
  <c r="Y49" i="1"/>
  <c r="Y45" i="1"/>
  <c r="Y26" i="1"/>
  <c r="Y42" i="1"/>
  <c r="Y23" i="1"/>
  <c r="Y39" i="1"/>
  <c r="Y32" i="1"/>
  <c r="Y21" i="1"/>
  <c r="Y18" i="1"/>
  <c r="Y34" i="1"/>
  <c r="Y50" i="1"/>
  <c r="Y31" i="1"/>
  <c r="Y47" i="1"/>
  <c r="Y24" i="1"/>
  <c r="Y40" i="1"/>
  <c r="Y48" i="1"/>
  <c r="Y41" i="1"/>
  <c r="Z3" i="1"/>
  <c r="Z4" i="1"/>
  <c r="Y15" i="1"/>
  <c r="Y12" i="1"/>
  <c r="Y17" i="1"/>
  <c r="Y10" i="1"/>
  <c r="Y16" i="1"/>
  <c r="Y14" i="1"/>
  <c r="Y7" i="1"/>
  <c r="Y9" i="1"/>
  <c r="Y11" i="1"/>
  <c r="Y8" i="1"/>
  <c r="Y13" i="1"/>
  <c r="K4" i="1"/>
  <c r="K3" i="1"/>
  <c r="L2" i="1"/>
  <c r="AA2" i="1"/>
  <c r="AV5" i="1" l="1"/>
  <c r="K90" i="1"/>
  <c r="K67" i="1"/>
  <c r="K86" i="1"/>
  <c r="K70" i="1"/>
  <c r="K82" i="1"/>
  <c r="K78" i="1"/>
  <c r="K71" i="1"/>
  <c r="K75" i="1"/>
  <c r="K94" i="1"/>
  <c r="K72" i="1"/>
  <c r="K80" i="1"/>
  <c r="K98" i="1"/>
  <c r="K66" i="1"/>
  <c r="K79" i="1"/>
  <c r="K97" i="1"/>
  <c r="K93" i="1"/>
  <c r="K89" i="1"/>
  <c r="K101" i="1"/>
  <c r="K83" i="1"/>
  <c r="K68" i="1"/>
  <c r="K99" i="1"/>
  <c r="K76" i="1"/>
  <c r="K63" i="1"/>
  <c r="K74" i="1"/>
  <c r="K64" i="1"/>
  <c r="K95" i="1"/>
  <c r="K60" i="1"/>
  <c r="K61" i="1"/>
  <c r="K77" i="1"/>
  <c r="K104" i="1"/>
  <c r="K62" i="1"/>
  <c r="K103" i="1"/>
  <c r="K73" i="1"/>
  <c r="K85" i="1"/>
  <c r="K102" i="1"/>
  <c r="K84" i="1"/>
  <c r="K87" i="1"/>
  <c r="K88" i="1"/>
  <c r="K69" i="1"/>
  <c r="K81" i="1"/>
  <c r="K96" i="1"/>
  <c r="K92" i="1"/>
  <c r="K91" i="1"/>
  <c r="K65" i="1"/>
  <c r="K100" i="1"/>
  <c r="AK40" i="1"/>
  <c r="AK55" i="1"/>
  <c r="AM51" i="1"/>
  <c r="AH10" i="1"/>
  <c r="AS7" i="1"/>
  <c r="AI11" i="1"/>
  <c r="AM36" i="1"/>
  <c r="AP35" i="1"/>
  <c r="AK25" i="1"/>
  <c r="AW3" i="1"/>
  <c r="AW4" i="1" s="1"/>
  <c r="AF14" i="1"/>
  <c r="Z14" i="1"/>
  <c r="Z32" i="1"/>
  <c r="Z48" i="1"/>
  <c r="Z29" i="1"/>
  <c r="Z45" i="1"/>
  <c r="Z22" i="1"/>
  <c r="Z38" i="1"/>
  <c r="Z27" i="1"/>
  <c r="Z47" i="1"/>
  <c r="Z51" i="1"/>
  <c r="Z19" i="1"/>
  <c r="Z24" i="1"/>
  <c r="Z40" i="1"/>
  <c r="Z21" i="1"/>
  <c r="Z37" i="1"/>
  <c r="Z30" i="1"/>
  <c r="Z46" i="1"/>
  <c r="Z39" i="1"/>
  <c r="Z28" i="1"/>
  <c r="Z44" i="1"/>
  <c r="Z25" i="1"/>
  <c r="Z41" i="1"/>
  <c r="Z34" i="1"/>
  <c r="Z35" i="1"/>
  <c r="Z20" i="1"/>
  <c r="Z36" i="1"/>
  <c r="Z33" i="1"/>
  <c r="Z49" i="1"/>
  <c r="Z26" i="1"/>
  <c r="Z42" i="1"/>
  <c r="Z23" i="1"/>
  <c r="Z43" i="1"/>
  <c r="Z18" i="1"/>
  <c r="Z50" i="1"/>
  <c r="Z31" i="1"/>
  <c r="AA4" i="1"/>
  <c r="AA3" i="1"/>
  <c r="L3" i="1"/>
  <c r="L4" i="1"/>
  <c r="AB2" i="1"/>
  <c r="M2" i="1"/>
  <c r="Z17" i="1"/>
  <c r="Z8" i="1"/>
  <c r="Z15" i="1"/>
  <c r="Z16" i="1"/>
  <c r="Z12" i="1"/>
  <c r="Z7" i="1"/>
  <c r="Z11" i="1"/>
  <c r="Z9" i="1"/>
  <c r="Z10" i="1"/>
  <c r="Z13" i="1"/>
  <c r="AW5" i="1" l="1"/>
  <c r="L80" i="1"/>
  <c r="L90" i="1"/>
  <c r="L99" i="1"/>
  <c r="L102" i="1"/>
  <c r="L78" i="1"/>
  <c r="L97" i="1"/>
  <c r="L93" i="1"/>
  <c r="L89" i="1"/>
  <c r="L101" i="1"/>
  <c r="L87" i="1"/>
  <c r="L68" i="1"/>
  <c r="L71" i="1"/>
  <c r="L76" i="1"/>
  <c r="L88" i="1"/>
  <c r="L74" i="1"/>
  <c r="L66" i="1"/>
  <c r="L86" i="1"/>
  <c r="L75" i="1"/>
  <c r="L64" i="1"/>
  <c r="L103" i="1"/>
  <c r="L79" i="1"/>
  <c r="L98" i="1"/>
  <c r="L82" i="1"/>
  <c r="L84" i="1"/>
  <c r="L94" i="1"/>
  <c r="L69" i="1"/>
  <c r="L81" i="1"/>
  <c r="L95" i="1"/>
  <c r="L83" i="1"/>
  <c r="L85" i="1"/>
  <c r="L91" i="1"/>
  <c r="L67" i="1"/>
  <c r="L62" i="1"/>
  <c r="L65" i="1"/>
  <c r="L77" i="1"/>
  <c r="L92" i="1"/>
  <c r="L60" i="1"/>
  <c r="L96" i="1"/>
  <c r="L70" i="1"/>
  <c r="L61" i="1"/>
  <c r="L100" i="1"/>
  <c r="L72" i="1"/>
  <c r="L73" i="1"/>
  <c r="L104" i="1"/>
  <c r="L63" i="1"/>
  <c r="AK41" i="1"/>
  <c r="AK56" i="1"/>
  <c r="AM52" i="1"/>
  <c r="AN52" i="1" s="1"/>
  <c r="AH11" i="1"/>
  <c r="AT7" i="1"/>
  <c r="AN51" i="1"/>
  <c r="AI12" i="1"/>
  <c r="AM37" i="1"/>
  <c r="AN37" i="1" s="1"/>
  <c r="AN36" i="1"/>
  <c r="AP36" i="1"/>
  <c r="AK26" i="1"/>
  <c r="AX3" i="1"/>
  <c r="AX5" i="1" s="1"/>
  <c r="AF15" i="1"/>
  <c r="AA18" i="1"/>
  <c r="AA34" i="1"/>
  <c r="AA50" i="1"/>
  <c r="AA31" i="1"/>
  <c r="AA47" i="1"/>
  <c r="AA24" i="1"/>
  <c r="AA40" i="1"/>
  <c r="AA41" i="1"/>
  <c r="AA33" i="1"/>
  <c r="AA26" i="1"/>
  <c r="AA42" i="1"/>
  <c r="AA23" i="1"/>
  <c r="AA39" i="1"/>
  <c r="AA32" i="1"/>
  <c r="AA48" i="1"/>
  <c r="AA37" i="1"/>
  <c r="AA29" i="1"/>
  <c r="AA49" i="1"/>
  <c r="AA30" i="1"/>
  <c r="AA46" i="1"/>
  <c r="AA27" i="1"/>
  <c r="AA43" i="1"/>
  <c r="AA36" i="1"/>
  <c r="AA45" i="1"/>
  <c r="AA22" i="1"/>
  <c r="AA38" i="1"/>
  <c r="AA19" i="1"/>
  <c r="AA35" i="1"/>
  <c r="AA51" i="1"/>
  <c r="AA28" i="1"/>
  <c r="AA44" i="1"/>
  <c r="AA20" i="1"/>
  <c r="AA25" i="1"/>
  <c r="AA21" i="1"/>
  <c r="AC2" i="1"/>
  <c r="N2" i="1"/>
  <c r="M4" i="1"/>
  <c r="M3" i="1"/>
  <c r="AB4" i="1"/>
  <c r="AB3" i="1"/>
  <c r="AA13" i="1"/>
  <c r="AA14" i="1"/>
  <c r="AA15" i="1"/>
  <c r="AA17" i="1"/>
  <c r="AA7" i="1"/>
  <c r="AA12" i="1"/>
  <c r="AA9" i="1"/>
  <c r="AA11" i="1"/>
  <c r="AA16" i="1"/>
  <c r="AA8" i="1"/>
  <c r="AA10" i="1"/>
  <c r="AX4" i="1" l="1"/>
  <c r="M101" i="1"/>
  <c r="M93" i="1"/>
  <c r="M67" i="1"/>
  <c r="M92" i="1"/>
  <c r="M63" i="1"/>
  <c r="M98" i="1"/>
  <c r="M82" i="1"/>
  <c r="M95" i="1"/>
  <c r="M68" i="1"/>
  <c r="M84" i="1"/>
  <c r="M87" i="1"/>
  <c r="M80" i="1"/>
  <c r="M94" i="1"/>
  <c r="M69" i="1"/>
  <c r="M70" i="1"/>
  <c r="M62" i="1"/>
  <c r="M77" i="1"/>
  <c r="M100" i="1"/>
  <c r="M72" i="1"/>
  <c r="M90" i="1"/>
  <c r="M104" i="1"/>
  <c r="M71" i="1"/>
  <c r="M83" i="1"/>
  <c r="M102" i="1"/>
  <c r="M78" i="1"/>
  <c r="M97" i="1"/>
  <c r="M89" i="1"/>
  <c r="M88" i="1"/>
  <c r="M74" i="1"/>
  <c r="M65" i="1"/>
  <c r="M96" i="1"/>
  <c r="M85" i="1"/>
  <c r="M103" i="1"/>
  <c r="M60" i="1"/>
  <c r="M81" i="1"/>
  <c r="M61" i="1"/>
  <c r="M86" i="1"/>
  <c r="M91" i="1"/>
  <c r="M73" i="1"/>
  <c r="M76" i="1"/>
  <c r="M75" i="1"/>
  <c r="M79" i="1"/>
  <c r="M66" i="1"/>
  <c r="M99" i="1"/>
  <c r="M64" i="1"/>
  <c r="AH12" i="1"/>
  <c r="AU7" i="1"/>
  <c r="AM53" i="1"/>
  <c r="AN53" i="1" s="1"/>
  <c r="AI13" i="1"/>
  <c r="AP37" i="1"/>
  <c r="AM38" i="1"/>
  <c r="AB20" i="1"/>
  <c r="AB36" i="1"/>
  <c r="AB33" i="1"/>
  <c r="AB49" i="1"/>
  <c r="AB26" i="1"/>
  <c r="AB42" i="1"/>
  <c r="AB31" i="1"/>
  <c r="AB39" i="1"/>
  <c r="AB51" i="1"/>
  <c r="AB28" i="1"/>
  <c r="AB44" i="1"/>
  <c r="AB25" i="1"/>
  <c r="AB41" i="1"/>
  <c r="AB34" i="1"/>
  <c r="AB50" i="1"/>
  <c r="AB43" i="1"/>
  <c r="AB19" i="1"/>
  <c r="AB32" i="1"/>
  <c r="AB48" i="1"/>
  <c r="AB29" i="1"/>
  <c r="AB45" i="1"/>
  <c r="AB38" i="1"/>
  <c r="AB35" i="1"/>
  <c r="AB18" i="1"/>
  <c r="AB24" i="1"/>
  <c r="AB40" i="1"/>
  <c r="AB21" i="1"/>
  <c r="AB37" i="1"/>
  <c r="AB30" i="1"/>
  <c r="AB46" i="1"/>
  <c r="AB27" i="1"/>
  <c r="AB23" i="1"/>
  <c r="AB47" i="1"/>
  <c r="AB22" i="1"/>
  <c r="AB12" i="1"/>
  <c r="AB13" i="1"/>
  <c r="AB7" i="1"/>
  <c r="AB8" i="1"/>
  <c r="AB16" i="1"/>
  <c r="AB17" i="1"/>
  <c r="AB11" i="1"/>
  <c r="AB9" i="1"/>
  <c r="AB15" i="1"/>
  <c r="AB10" i="1"/>
  <c r="AB14" i="1"/>
  <c r="N3" i="1"/>
  <c r="N4" i="1"/>
  <c r="AC4" i="1"/>
  <c r="AC3" i="1"/>
  <c r="N93" i="1" l="1"/>
  <c r="O93" i="1" s="1"/>
  <c r="N82" i="1"/>
  <c r="O82" i="1" s="1"/>
  <c r="N89" i="1"/>
  <c r="O89" i="1" s="1"/>
  <c r="N65" i="1"/>
  <c r="O65" i="1" s="1"/>
  <c r="N71" i="1"/>
  <c r="O71" i="1" s="1"/>
  <c r="N83" i="1"/>
  <c r="O83" i="1" s="1"/>
  <c r="N94" i="1"/>
  <c r="O94" i="1" s="1"/>
  <c r="N88" i="1"/>
  <c r="O88" i="1" s="1"/>
  <c r="N84" i="1"/>
  <c r="O84" i="1" s="1"/>
  <c r="N69" i="1"/>
  <c r="O69" i="1" s="1"/>
  <c r="N81" i="1"/>
  <c r="O81" i="1" s="1"/>
  <c r="N75" i="1"/>
  <c r="O75" i="1" s="1"/>
  <c r="N79" i="1"/>
  <c r="O79" i="1" s="1"/>
  <c r="N102" i="1"/>
  <c r="O102" i="1" s="1"/>
  <c r="N70" i="1"/>
  <c r="O70" i="1" s="1"/>
  <c r="N62" i="1"/>
  <c r="O62" i="1" s="1"/>
  <c r="N72" i="1"/>
  <c r="O72" i="1" s="1"/>
  <c r="N80" i="1"/>
  <c r="O80" i="1" s="1"/>
  <c r="N97" i="1"/>
  <c r="O97" i="1" s="1"/>
  <c r="N67" i="1"/>
  <c r="O67" i="1" s="1"/>
  <c r="N60" i="1"/>
  <c r="O60" i="1" s="1"/>
  <c r="N63" i="1"/>
  <c r="O63" i="1" s="1"/>
  <c r="N61" i="1"/>
  <c r="O61" i="1" s="1"/>
  <c r="N86" i="1"/>
  <c r="O86" i="1" s="1"/>
  <c r="N78" i="1"/>
  <c r="O78" i="1" s="1"/>
  <c r="N101" i="1"/>
  <c r="O101" i="1" s="1"/>
  <c r="N68" i="1"/>
  <c r="O68" i="1" s="1"/>
  <c r="N95" i="1"/>
  <c r="O95" i="1" s="1"/>
  <c r="N91" i="1"/>
  <c r="O91" i="1" s="1"/>
  <c r="N104" i="1"/>
  <c r="O104" i="1" s="1"/>
  <c r="N100" i="1"/>
  <c r="O100" i="1" s="1"/>
  <c r="N98" i="1"/>
  <c r="O98" i="1" s="1"/>
  <c r="N87" i="1"/>
  <c r="O87" i="1" s="1"/>
  <c r="N64" i="1"/>
  <c r="O64" i="1" s="1"/>
  <c r="N103" i="1"/>
  <c r="O103" i="1" s="1"/>
  <c r="N77" i="1"/>
  <c r="O77" i="1" s="1"/>
  <c r="N92" i="1"/>
  <c r="O92" i="1" s="1"/>
  <c r="N76" i="1"/>
  <c r="O76" i="1" s="1"/>
  <c r="N73" i="1"/>
  <c r="O73" i="1" s="1"/>
  <c r="N85" i="1"/>
  <c r="O85" i="1" s="1"/>
  <c r="N90" i="1"/>
  <c r="O90" i="1" s="1"/>
  <c r="N99" i="1"/>
  <c r="O99" i="1" s="1"/>
  <c r="N66" i="1"/>
  <c r="O66" i="1" s="1"/>
  <c r="N74" i="1"/>
  <c r="O74" i="1" s="1"/>
  <c r="N96" i="1"/>
  <c r="O96" i="1" s="1"/>
  <c r="AM54" i="1"/>
  <c r="AN54" i="1" s="1"/>
  <c r="AH13" i="1"/>
  <c r="AV7" i="1"/>
  <c r="AI14" i="1"/>
  <c r="AN38" i="1"/>
  <c r="AM39" i="1"/>
  <c r="AN39" i="1" s="1"/>
  <c r="AP38" i="1"/>
  <c r="AC20" i="1"/>
  <c r="AD20" i="1" s="1"/>
  <c r="AC36" i="1"/>
  <c r="AD36" i="1" s="1"/>
  <c r="AC33" i="1"/>
  <c r="AD33" i="1" s="1"/>
  <c r="AC49" i="1"/>
  <c r="AD49" i="1" s="1"/>
  <c r="AC26" i="1"/>
  <c r="AD26" i="1" s="1"/>
  <c r="AC42" i="1"/>
  <c r="AD42" i="1" s="1"/>
  <c r="AC43" i="1"/>
  <c r="AD43" i="1" s="1"/>
  <c r="AC19" i="1"/>
  <c r="AD19" i="1" s="1"/>
  <c r="AC35" i="1"/>
  <c r="AD35" i="1" s="1"/>
  <c r="AC28" i="1"/>
  <c r="AD28" i="1" s="1"/>
  <c r="AC44" i="1"/>
  <c r="AD44" i="1" s="1"/>
  <c r="AC25" i="1"/>
  <c r="AD25" i="1" s="1"/>
  <c r="AC41" i="1"/>
  <c r="AD41" i="1" s="1"/>
  <c r="AC18" i="1"/>
  <c r="AD18" i="1" s="1"/>
  <c r="AC34" i="1"/>
  <c r="AD34" i="1" s="1"/>
  <c r="AC50" i="1"/>
  <c r="AD50" i="1" s="1"/>
  <c r="AC31" i="1"/>
  <c r="AD31" i="1" s="1"/>
  <c r="AC39" i="1"/>
  <c r="AD39" i="1" s="1"/>
  <c r="AC51" i="1"/>
  <c r="AD51" i="1" s="1"/>
  <c r="AC32" i="1"/>
  <c r="AD32" i="1" s="1"/>
  <c r="AC48" i="1"/>
  <c r="AD48" i="1" s="1"/>
  <c r="AC29" i="1"/>
  <c r="AD29" i="1" s="1"/>
  <c r="AC45" i="1"/>
  <c r="AD45" i="1" s="1"/>
  <c r="AC38" i="1"/>
  <c r="AD38" i="1" s="1"/>
  <c r="AC27" i="1"/>
  <c r="AD27" i="1" s="1"/>
  <c r="AC23" i="1"/>
  <c r="AD23" i="1" s="1"/>
  <c r="AC24" i="1"/>
  <c r="AD24" i="1" s="1"/>
  <c r="AC40" i="1"/>
  <c r="AD40" i="1" s="1"/>
  <c r="AC21" i="1"/>
  <c r="AD21" i="1" s="1"/>
  <c r="AC37" i="1"/>
  <c r="AD37" i="1" s="1"/>
  <c r="AC30" i="1"/>
  <c r="AD30" i="1" s="1"/>
  <c r="AC46" i="1"/>
  <c r="AD46" i="1" s="1"/>
  <c r="AC22" i="1"/>
  <c r="AD22" i="1" s="1"/>
  <c r="AC47" i="1"/>
  <c r="AD47" i="1" s="1"/>
  <c r="AC10" i="1"/>
  <c r="AD10" i="1" s="1"/>
  <c r="AC16" i="1"/>
  <c r="AD16" i="1" s="1"/>
  <c r="AC14" i="1"/>
  <c r="AD14" i="1" s="1"/>
  <c r="AC15" i="1"/>
  <c r="AD15" i="1" s="1"/>
  <c r="AC7" i="1"/>
  <c r="AD7" i="1" s="1"/>
  <c r="AC9" i="1"/>
  <c r="AD9" i="1" s="1"/>
  <c r="AC17" i="1"/>
  <c r="AD17" i="1" s="1"/>
  <c r="AC11" i="1"/>
  <c r="AD11" i="1" s="1"/>
  <c r="AC8" i="1"/>
  <c r="AD8" i="1" s="1"/>
  <c r="AC13" i="1"/>
  <c r="AD13" i="1" s="1"/>
  <c r="AC12" i="1"/>
  <c r="AD12" i="1" s="1"/>
  <c r="AH14" i="1" l="1"/>
  <c r="AW7" i="1"/>
  <c r="AM55" i="1"/>
  <c r="AN55" i="1" s="1"/>
  <c r="AI15" i="1"/>
  <c r="AP39" i="1"/>
  <c r="AM40" i="1"/>
  <c r="AN40" i="1" s="1"/>
  <c r="AH15" i="1" l="1"/>
  <c r="AX7" i="1"/>
  <c r="AM56" i="1"/>
  <c r="AM41" i="1"/>
  <c r="AP40" i="1"/>
  <c r="AN56" i="1" l="1"/>
  <c r="AN57" i="1" s="1"/>
  <c r="AM57" i="1"/>
  <c r="AP41" i="1"/>
  <c r="AN41" i="1"/>
  <c r="AN42" i="1" s="1"/>
  <c r="AM42" i="1"/>
  <c r="AP42" i="1" l="1"/>
  <c r="M56" i="4"/>
  <c r="N56" i="4"/>
  <c r="L56" i="4"/>
  <c r="C32" i="1" l="1"/>
  <c r="C18" i="1"/>
  <c r="AN6" i="1"/>
  <c r="AN9" i="1" s="1"/>
  <c r="C14" i="1"/>
  <c r="AP6" i="1"/>
  <c r="AP9" i="1" s="1"/>
  <c r="AV6" i="1"/>
  <c r="AV9" i="1" s="1"/>
  <c r="AU6" i="1"/>
  <c r="AU9" i="1" s="1"/>
  <c r="AX6" i="1"/>
  <c r="AX9" i="1" s="1"/>
  <c r="AS6" i="1"/>
  <c r="AS9" i="1" s="1"/>
  <c r="AQ6" i="1"/>
  <c r="AQ9" i="1" s="1"/>
  <c r="AM6" i="1"/>
  <c r="AM9" i="1" s="1"/>
  <c r="AM11" i="1" s="1"/>
  <c r="C24" i="1"/>
  <c r="C40" i="1"/>
  <c r="C44" i="1"/>
  <c r="C13" i="1"/>
  <c r="F15" i="1"/>
  <c r="D7" i="1"/>
  <c r="E15" i="1"/>
  <c r="D48" i="1"/>
  <c r="E33" i="1"/>
  <c r="D9" i="1"/>
  <c r="D15" i="1"/>
  <c r="D22" i="1"/>
  <c r="D11" i="1"/>
  <c r="F44" i="1"/>
  <c r="G39" i="1"/>
  <c r="H30" i="1"/>
  <c r="D45" i="1"/>
  <c r="D35" i="1"/>
  <c r="E34" i="1"/>
  <c r="E44" i="1"/>
  <c r="D23" i="1"/>
  <c r="E39" i="1"/>
  <c r="D41" i="1"/>
  <c r="E13" i="1"/>
  <c r="D49" i="1"/>
  <c r="E14" i="1"/>
  <c r="E50" i="1"/>
  <c r="D50" i="1"/>
  <c r="E23" i="1"/>
  <c r="E19" i="1"/>
  <c r="F45" i="1"/>
  <c r="F51" i="1"/>
  <c r="H7" i="1"/>
  <c r="H35" i="1"/>
  <c r="G26" i="1"/>
  <c r="G51" i="1"/>
  <c r="E28" i="1"/>
  <c r="F48" i="1"/>
  <c r="F50" i="1"/>
  <c r="D33" i="1"/>
  <c r="E40" i="1"/>
  <c r="D36" i="1"/>
  <c r="D51" i="1"/>
  <c r="E10" i="1"/>
  <c r="E9" i="1"/>
  <c r="D37" i="1"/>
  <c r="F29" i="1"/>
  <c r="D32" i="1"/>
  <c r="D10" i="1"/>
  <c r="F24" i="1"/>
  <c r="D18" i="1"/>
  <c r="E36" i="1"/>
  <c r="F13" i="1"/>
  <c r="G36" i="1"/>
  <c r="G37" i="1"/>
  <c r="H18" i="1"/>
  <c r="E29" i="1"/>
  <c r="D16" i="1"/>
  <c r="E45" i="1"/>
  <c r="E48" i="1"/>
  <c r="D34" i="1"/>
  <c r="D12" i="1"/>
  <c r="D17" i="1"/>
  <c r="F40" i="1"/>
  <c r="E30" i="1"/>
  <c r="E35" i="1"/>
  <c r="E20" i="1"/>
  <c r="F38" i="1"/>
  <c r="D47" i="1"/>
  <c r="G32" i="1"/>
  <c r="G22" i="1"/>
  <c r="H39" i="1"/>
  <c r="I36" i="1"/>
  <c r="E17" i="1"/>
  <c r="G35" i="1"/>
  <c r="H26" i="1"/>
  <c r="D20" i="1"/>
  <c r="E49" i="1"/>
  <c r="D21" i="1"/>
  <c r="E26" i="1"/>
  <c r="E12" i="1"/>
  <c r="D39" i="1"/>
  <c r="F23" i="1"/>
  <c r="D42" i="1"/>
  <c r="D19" i="1"/>
  <c r="E11" i="1"/>
  <c r="E47" i="1"/>
  <c r="E43" i="1"/>
  <c r="D26" i="1"/>
  <c r="F31" i="1"/>
  <c r="F41" i="1"/>
  <c r="G49" i="1"/>
  <c r="H13" i="1"/>
  <c r="I34" i="1"/>
  <c r="J14" i="1"/>
  <c r="J9" i="1"/>
  <c r="G20" i="1"/>
  <c r="G18" i="1"/>
  <c r="H31" i="1"/>
  <c r="I24" i="1"/>
  <c r="I28" i="1"/>
  <c r="F9" i="1"/>
  <c r="H22" i="1"/>
  <c r="J21" i="1"/>
  <c r="J22" i="1"/>
  <c r="H44" i="1"/>
  <c r="E37" i="1"/>
  <c r="D46" i="1"/>
  <c r="E32" i="1"/>
  <c r="F30" i="1"/>
  <c r="D40" i="1"/>
  <c r="F25" i="1"/>
  <c r="E21" i="1"/>
  <c r="H19" i="1"/>
  <c r="F20" i="1"/>
  <c r="G28" i="1"/>
  <c r="H10" i="1"/>
  <c r="I7" i="1"/>
  <c r="E46" i="1"/>
  <c r="F19" i="1"/>
  <c r="F28" i="1"/>
  <c r="H17" i="1"/>
  <c r="J7" i="1"/>
  <c r="G16" i="1"/>
  <c r="H41" i="1"/>
  <c r="I39" i="1"/>
  <c r="I10" i="1"/>
  <c r="J48" i="1"/>
  <c r="F22" i="1"/>
  <c r="G27" i="1"/>
  <c r="H32" i="1"/>
  <c r="G41" i="1"/>
  <c r="E51" i="1"/>
  <c r="D24" i="1"/>
  <c r="E25" i="1"/>
  <c r="D31" i="1"/>
  <c r="E8" i="1"/>
  <c r="F8" i="1"/>
  <c r="D44" i="1"/>
  <c r="I42" i="1"/>
  <c r="F18" i="1"/>
  <c r="H42" i="1"/>
  <c r="I23" i="1"/>
  <c r="I16" i="1"/>
  <c r="G50" i="1"/>
  <c r="F32" i="1"/>
  <c r="G43" i="1"/>
  <c r="I44" i="1"/>
  <c r="I46" i="1"/>
  <c r="F27" i="1"/>
  <c r="F16" i="1"/>
  <c r="F47" i="1"/>
  <c r="G10" i="1"/>
  <c r="H24" i="1"/>
  <c r="I50" i="1"/>
  <c r="J49" i="1"/>
  <c r="F7" i="1"/>
  <c r="G34" i="1"/>
  <c r="H36" i="1"/>
  <c r="E41" i="1"/>
  <c r="F36" i="1"/>
  <c r="H37" i="1"/>
  <c r="I9" i="1"/>
  <c r="I15" i="1"/>
  <c r="J33" i="1"/>
  <c r="J19" i="1"/>
  <c r="F10" i="1"/>
  <c r="D29" i="1"/>
  <c r="E42" i="1"/>
  <c r="G12" i="1"/>
  <c r="D30" i="1"/>
  <c r="F26" i="1"/>
  <c r="I45" i="1"/>
  <c r="J24" i="1"/>
  <c r="H49" i="1"/>
  <c r="I29" i="1"/>
  <c r="F35" i="1"/>
  <c r="G15" i="1"/>
  <c r="F42" i="1"/>
  <c r="G29" i="1"/>
  <c r="E22" i="1"/>
  <c r="F37" i="1"/>
  <c r="H9" i="1"/>
  <c r="J25" i="1"/>
  <c r="J38" i="1"/>
  <c r="G14" i="1"/>
  <c r="I26" i="1"/>
  <c r="I47" i="1"/>
  <c r="D38" i="1"/>
  <c r="E16" i="1"/>
  <c r="D25" i="1"/>
  <c r="F39" i="1"/>
  <c r="E27" i="1"/>
  <c r="F33" i="1"/>
  <c r="H8" i="1"/>
  <c r="D8" i="1"/>
  <c r="H21" i="1"/>
  <c r="D28" i="1"/>
  <c r="E38" i="1"/>
  <c r="D27" i="1"/>
  <c r="E18" i="1"/>
  <c r="D14" i="1"/>
  <c r="G17" i="1"/>
  <c r="I11" i="1"/>
  <c r="J44" i="1"/>
  <c r="G25" i="1"/>
  <c r="G11" i="1"/>
  <c r="H23" i="1"/>
  <c r="J51" i="1"/>
  <c r="F12" i="1"/>
  <c r="H12" i="1"/>
  <c r="J16" i="1"/>
  <c r="J41" i="1"/>
  <c r="J42" i="1"/>
  <c r="F17" i="1"/>
  <c r="H38" i="1"/>
  <c r="J39" i="1"/>
  <c r="G38" i="1"/>
  <c r="I27" i="1"/>
  <c r="I19" i="1"/>
  <c r="F34" i="1"/>
  <c r="I33" i="1"/>
  <c r="G40" i="1"/>
  <c r="H50" i="1"/>
  <c r="E31" i="1"/>
  <c r="G30" i="1"/>
  <c r="G44" i="1"/>
  <c r="I17" i="1"/>
  <c r="F43" i="1"/>
  <c r="G9" i="1"/>
  <c r="J34" i="1"/>
  <c r="H46" i="1"/>
  <c r="I48" i="1"/>
  <c r="G24" i="1"/>
  <c r="M37" i="1"/>
  <c r="M50" i="1"/>
  <c r="M15" i="1"/>
  <c r="M10" i="1"/>
  <c r="M48" i="1"/>
  <c r="I38" i="1"/>
  <c r="G23" i="1"/>
  <c r="G48" i="1"/>
  <c r="I18" i="1"/>
  <c r="J32" i="1"/>
  <c r="J35" i="1"/>
  <c r="G45" i="1"/>
  <c r="G47" i="1"/>
  <c r="H43" i="1"/>
  <c r="I49" i="1"/>
  <c r="I31" i="1"/>
  <c r="K50" i="1"/>
  <c r="J31" i="1"/>
  <c r="K23" i="1"/>
  <c r="K47" i="1"/>
  <c r="K42" i="1"/>
  <c r="K36" i="1"/>
  <c r="L31" i="1"/>
  <c r="L40" i="1"/>
  <c r="K7" i="1"/>
  <c r="K28" i="1"/>
  <c r="K44" i="1"/>
  <c r="L22" i="1"/>
  <c r="L44" i="1"/>
  <c r="K35" i="1"/>
  <c r="L46" i="1"/>
  <c r="L7" i="1"/>
  <c r="D13" i="1"/>
  <c r="H15" i="1"/>
  <c r="G8" i="1"/>
  <c r="H29" i="1"/>
  <c r="J18" i="1"/>
  <c r="H27" i="1"/>
  <c r="J13" i="1"/>
  <c r="H33" i="1"/>
  <c r="I21" i="1"/>
  <c r="J28" i="1"/>
  <c r="J45" i="1"/>
  <c r="L50" i="1"/>
  <c r="L13" i="1"/>
  <c r="J27" i="1"/>
  <c r="K20" i="1"/>
  <c r="K46" i="1"/>
  <c r="M39" i="1"/>
  <c r="K14" i="1"/>
  <c r="M44" i="1"/>
  <c r="N51" i="1"/>
  <c r="L17" i="1"/>
  <c r="M16" i="1"/>
  <c r="M31" i="1"/>
  <c r="N22" i="1"/>
  <c r="M28" i="1"/>
  <c r="K26" i="1"/>
  <c r="K11" i="1"/>
  <c r="I35" i="1"/>
  <c r="I32" i="1"/>
  <c r="I37" i="1"/>
  <c r="J10" i="1"/>
  <c r="G19" i="1"/>
  <c r="I41" i="1"/>
  <c r="F49" i="1"/>
  <c r="J36" i="1"/>
  <c r="E24" i="1"/>
  <c r="M20" i="1"/>
  <c r="M14" i="1"/>
  <c r="M23" i="1"/>
  <c r="M18" i="1"/>
  <c r="K41" i="1"/>
  <c r="K17" i="1"/>
  <c r="L42" i="1"/>
  <c r="D43" i="1"/>
  <c r="J15" i="1"/>
  <c r="H48" i="1"/>
  <c r="J47" i="1"/>
  <c r="I13" i="1"/>
  <c r="J11" i="1"/>
  <c r="H14" i="1"/>
  <c r="H11" i="1"/>
  <c r="I8" i="1"/>
  <c r="G31" i="1"/>
  <c r="H28" i="1"/>
  <c r="J40" i="1"/>
  <c r="J50" i="1"/>
  <c r="K29" i="1"/>
  <c r="G7" i="1"/>
  <c r="H47" i="1"/>
  <c r="I14" i="1"/>
  <c r="I30" i="1"/>
  <c r="I20" i="1"/>
  <c r="K51" i="1"/>
  <c r="K18" i="1"/>
  <c r="K19" i="1"/>
  <c r="L23" i="1"/>
  <c r="K24" i="1"/>
  <c r="K22" i="1"/>
  <c r="K39" i="1"/>
  <c r="L27" i="1"/>
  <c r="L36" i="1"/>
  <c r="K10" i="1"/>
  <c r="K9" i="1"/>
  <c r="L30" i="1"/>
  <c r="L47" i="1"/>
  <c r="L29" i="1"/>
  <c r="K13" i="1"/>
  <c r="L12" i="1"/>
  <c r="L18" i="1"/>
  <c r="L51" i="1"/>
  <c r="I12" i="1"/>
  <c r="F21" i="1"/>
  <c r="J26" i="1"/>
  <c r="G42" i="1"/>
  <c r="H45" i="1"/>
  <c r="E7" i="1"/>
  <c r="G21" i="1"/>
  <c r="H16" i="1"/>
  <c r="J29" i="1"/>
  <c r="K48" i="1"/>
  <c r="M49" i="1"/>
  <c r="M19" i="1"/>
  <c r="N7" i="1"/>
  <c r="M36" i="1"/>
  <c r="N18" i="1"/>
  <c r="L45" i="1"/>
  <c r="F14" i="1"/>
  <c r="J37" i="1"/>
  <c r="F11" i="1"/>
  <c r="G33" i="1"/>
  <c r="H20" i="1"/>
  <c r="I51" i="1"/>
  <c r="G46" i="1"/>
  <c r="H51" i="1"/>
  <c r="I22" i="1"/>
  <c r="N45" i="1"/>
  <c r="M24" i="1"/>
  <c r="K43" i="1"/>
  <c r="K37" i="1"/>
  <c r="K31" i="1"/>
  <c r="L26" i="1"/>
  <c r="K16" i="1"/>
  <c r="K12" i="1"/>
  <c r="L33" i="1"/>
  <c r="L35" i="1"/>
  <c r="J12" i="1"/>
  <c r="L39" i="1"/>
  <c r="L43" i="1"/>
  <c r="L32" i="1"/>
  <c r="M11" i="1"/>
  <c r="M8" i="1"/>
  <c r="M25" i="1"/>
  <c r="M40" i="1"/>
  <c r="K8" i="1"/>
  <c r="L11" i="1"/>
  <c r="N49" i="1"/>
  <c r="L37" i="1"/>
  <c r="M32" i="1"/>
  <c r="M47" i="1"/>
  <c r="N23" i="1"/>
  <c r="N31" i="1"/>
  <c r="N42" i="1"/>
  <c r="N15" i="1"/>
  <c r="J17" i="1"/>
  <c r="I43" i="1"/>
  <c r="L21" i="1"/>
  <c r="L25" i="1"/>
  <c r="M33" i="1"/>
  <c r="M38" i="1"/>
  <c r="M51" i="1"/>
  <c r="K21" i="1"/>
  <c r="M17" i="1"/>
  <c r="N29" i="1"/>
  <c r="N11" i="1"/>
  <c r="N21" i="1"/>
  <c r="N19" i="1"/>
  <c r="N40" i="1"/>
  <c r="N47" i="1"/>
  <c r="J43" i="1"/>
  <c r="J20" i="1"/>
  <c r="M43" i="1"/>
  <c r="L10" i="1"/>
  <c r="L14" i="1"/>
  <c r="K25" i="1"/>
  <c r="K40" i="1"/>
  <c r="L15" i="1"/>
  <c r="L28" i="1"/>
  <c r="N25" i="1"/>
  <c r="N43" i="1"/>
  <c r="C51" i="1"/>
  <c r="H34" i="1"/>
  <c r="M13" i="1"/>
  <c r="M21" i="1"/>
  <c r="K15" i="1"/>
  <c r="M41" i="1"/>
  <c r="N37" i="1"/>
  <c r="L8" i="1"/>
  <c r="M30" i="1"/>
  <c r="M27" i="1"/>
  <c r="M7" i="1"/>
  <c r="M46" i="1"/>
  <c r="M12" i="1"/>
  <c r="G13" i="1"/>
  <c r="J23" i="1"/>
  <c r="J30" i="1"/>
  <c r="J8" i="1"/>
  <c r="M9" i="1"/>
  <c r="N12" i="1"/>
  <c r="N35" i="1"/>
  <c r="N34" i="1"/>
  <c r="N24" i="1"/>
  <c r="N39" i="1"/>
  <c r="N14" i="1"/>
  <c r="N32" i="1"/>
  <c r="N41" i="1"/>
  <c r="N36" i="1"/>
  <c r="C7" i="1"/>
  <c r="F46" i="1"/>
  <c r="J46" i="1"/>
  <c r="K49" i="1"/>
  <c r="K33" i="1"/>
  <c r="M34" i="1"/>
  <c r="N16" i="1"/>
  <c r="K32" i="1"/>
  <c r="L9" i="1"/>
  <c r="L16" i="1"/>
  <c r="M45" i="1"/>
  <c r="M22" i="1"/>
  <c r="K30" i="1"/>
  <c r="L48" i="1"/>
  <c r="L24" i="1"/>
  <c r="L41" i="1"/>
  <c r="M29" i="1"/>
  <c r="N30" i="1"/>
  <c r="N17" i="1"/>
  <c r="N33" i="1"/>
  <c r="H25" i="1"/>
  <c r="H40" i="1"/>
  <c r="K38" i="1"/>
  <c r="K27" i="1"/>
  <c r="N26" i="1"/>
  <c r="M42" i="1"/>
  <c r="M26" i="1"/>
  <c r="M35" i="1"/>
  <c r="N27" i="1"/>
  <c r="N8" i="1"/>
  <c r="I40" i="1"/>
  <c r="I25" i="1"/>
  <c r="L34" i="1"/>
  <c r="L19" i="1"/>
  <c r="L49" i="1"/>
  <c r="L20" i="1"/>
  <c r="K45" i="1"/>
  <c r="K34" i="1"/>
  <c r="L38" i="1"/>
  <c r="N50" i="1"/>
  <c r="N38" i="1"/>
  <c r="N20" i="1"/>
  <c r="N48" i="1"/>
  <c r="N10" i="1"/>
  <c r="N13" i="1"/>
  <c r="N46" i="1"/>
  <c r="C16" i="1"/>
  <c r="C49" i="1"/>
  <c r="C30" i="1"/>
  <c r="C20" i="1"/>
  <c r="AT6" i="1"/>
  <c r="AT9" i="1" s="1"/>
  <c r="C28" i="1"/>
  <c r="C47" i="1"/>
  <c r="C23" i="1"/>
  <c r="C39" i="1"/>
  <c r="C42" i="1"/>
  <c r="N44" i="1"/>
  <c r="C22" i="1"/>
  <c r="C45" i="1"/>
  <c r="C35" i="1"/>
  <c r="C8" i="1"/>
  <c r="C48" i="1"/>
  <c r="C37" i="1"/>
  <c r="C11" i="1"/>
  <c r="C19" i="1"/>
  <c r="C50" i="1"/>
  <c r="C36" i="1"/>
  <c r="C9" i="1"/>
  <c r="AO6" i="1"/>
  <c r="AO9" i="1" s="1"/>
  <c r="AR6" i="1"/>
  <c r="AR9" i="1" s="1"/>
  <c r="C33" i="1"/>
  <c r="C26" i="1"/>
  <c r="C43" i="1"/>
  <c r="C29" i="1"/>
  <c r="C10" i="1"/>
  <c r="C21" i="1"/>
  <c r="C17" i="1"/>
  <c r="C46" i="1"/>
  <c r="C41" i="1"/>
  <c r="C31" i="1"/>
  <c r="N9" i="1"/>
  <c r="C25" i="1"/>
  <c r="C38" i="1"/>
  <c r="C34" i="1"/>
  <c r="C15" i="1"/>
  <c r="C27" i="1"/>
  <c r="N28" i="1"/>
  <c r="C12" i="1"/>
  <c r="AW6" i="1"/>
  <c r="AW9" i="1" s="1"/>
  <c r="AN11" i="1" l="1"/>
  <c r="O45" i="1"/>
  <c r="O31" i="1"/>
  <c r="O44" i="1"/>
  <c r="O12" i="1"/>
  <c r="O25" i="1"/>
  <c r="O19" i="1"/>
  <c r="O15" i="1"/>
  <c r="O37" i="1"/>
  <c r="O41" i="1"/>
  <c r="O43" i="1"/>
  <c r="O14" i="1"/>
  <c r="AG7" i="1"/>
  <c r="O29" i="1"/>
  <c r="O42" i="1"/>
  <c r="AG15" i="1"/>
  <c r="O26" i="1"/>
  <c r="O47" i="1"/>
  <c r="O27" i="1"/>
  <c r="O30" i="1"/>
  <c r="O33" i="1"/>
  <c r="O22" i="1"/>
  <c r="O38" i="1"/>
  <c r="O39" i="1"/>
  <c r="O49" i="1"/>
  <c r="AM20" i="1"/>
  <c r="AN20" i="1" s="1"/>
  <c r="O18" i="1"/>
  <c r="AM24" i="1"/>
  <c r="AN24" i="1" s="1"/>
  <c r="O13" i="1"/>
  <c r="AG14" i="1"/>
  <c r="AG6" i="1"/>
  <c r="O24" i="1"/>
  <c r="O40" i="1"/>
  <c r="AG13" i="1"/>
  <c r="O32" i="1"/>
  <c r="AG12" i="1"/>
  <c r="AG5" i="1"/>
  <c r="O36" i="1"/>
  <c r="O11" i="1"/>
  <c r="AG4" i="1"/>
  <c r="AG8" i="1"/>
  <c r="O17" i="1"/>
  <c r="O50" i="1"/>
  <c r="O48" i="1"/>
  <c r="O20" i="1"/>
  <c r="O7" i="1"/>
  <c r="AG10" i="1"/>
  <c r="O21" i="1"/>
  <c r="O8" i="1"/>
  <c r="AG9" i="1"/>
  <c r="O35" i="1"/>
  <c r="O28" i="1"/>
  <c r="O34" i="1"/>
  <c r="O10" i="1"/>
  <c r="O23" i="1"/>
  <c r="O16" i="1"/>
  <c r="O46" i="1"/>
  <c r="O9" i="1"/>
  <c r="O51" i="1"/>
  <c r="AG11" i="1"/>
  <c r="AM16" i="1" l="1"/>
  <c r="AN16" i="1" s="1"/>
  <c r="AO11" i="1"/>
  <c r="AP11" i="1" s="1"/>
  <c r="AM22" i="1"/>
  <c r="AN22" i="1" s="1"/>
  <c r="AM23" i="1"/>
  <c r="AN23" i="1" s="1"/>
  <c r="AM17" i="1"/>
  <c r="AN17" i="1" s="1"/>
  <c r="AM18" i="1"/>
  <c r="AN18" i="1" s="1"/>
  <c r="AM26" i="1"/>
  <c r="AN26" i="1" s="1"/>
  <c r="AM19" i="1"/>
  <c r="AN19" i="1" s="1"/>
  <c r="AM21" i="1"/>
  <c r="AN21" i="1" s="1"/>
  <c r="AM25" i="1"/>
  <c r="AN25" i="1" s="1"/>
  <c r="AM15" i="1"/>
  <c r="AQ11" i="1" l="1"/>
  <c r="AN15" i="1"/>
  <c r="AN27" i="1" s="1"/>
  <c r="AM27" i="1"/>
  <c r="AP15" i="1"/>
  <c r="AP16" i="1" l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R11" i="1"/>
  <c r="AS11" i="1" l="1"/>
  <c r="AP27" i="1"/>
  <c r="AT11" i="1" l="1"/>
  <c r="AU11" i="1" l="1"/>
  <c r="AV11" i="1" l="1"/>
  <c r="AW11" i="1" l="1"/>
  <c r="AX11" i="1" l="1"/>
</calcChain>
</file>

<file path=xl/comments1.xml><?xml version="1.0" encoding="utf-8"?>
<comments xmlns="http://schemas.openxmlformats.org/spreadsheetml/2006/main">
  <authors>
    <author>Administrator</author>
  </authors>
  <commentList>
    <comment ref="I80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PRIMERA DEVOLUCION DE LOS 298.000 DEL PAGO DE FACTURAS 4105 Y 4201. REALIZADA EL  11-04-2026 DESDE SANTANDER.
SEGUNDA DEVOLUCION 198.00. SALDO RESTANTE DEVUELTO EL 14-4-26
</t>
        </r>
      </text>
    </comment>
    <comment ref="I9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TRANSFERENCIA DEL 10-04-26</t>
        </r>
      </text>
    </comment>
    <comment ref="I98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TRANSFERENCIA 14-4-26 </t>
        </r>
      </text>
    </comment>
    <comment ref="I124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PAGADA EL 14-4-26
</t>
        </r>
      </text>
    </comment>
  </commentList>
</comments>
</file>

<file path=xl/sharedStrings.xml><?xml version="1.0" encoding="utf-8"?>
<sst xmlns="http://schemas.openxmlformats.org/spreadsheetml/2006/main" count="993" uniqueCount="299">
  <si>
    <t>Ingresos</t>
  </si>
  <si>
    <t>Gastos</t>
  </si>
  <si>
    <t>Costos</t>
  </si>
  <si>
    <t>301 Ventas factura/Clientes</t>
  </si>
  <si>
    <t xml:space="preserve">302 Fingo/ Flujo </t>
  </si>
  <si>
    <t>502 Fire Master-Ossa-Startfire</t>
  </si>
  <si>
    <t>Transferencias B. Santader</t>
  </si>
  <si>
    <t>M</t>
  </si>
  <si>
    <t>Y</t>
  </si>
  <si>
    <t>404 Arriendo</t>
  </si>
  <si>
    <t>505 Ecoex / Transporte insumo</t>
  </si>
  <si>
    <t>Efectivo</t>
  </si>
  <si>
    <t>407 Reunión clientes-personal</t>
  </si>
  <si>
    <t>Debito B. Santander 2405</t>
  </si>
  <si>
    <t>408 Sueldo administrativos/oficina</t>
  </si>
  <si>
    <t>409 Imposiciones administrativo</t>
  </si>
  <si>
    <t>410 Telefonía</t>
  </si>
  <si>
    <t>TRANSFERENCIA FINGO</t>
  </si>
  <si>
    <t>TRANSFERENCIA CLIENTES</t>
  </si>
  <si>
    <t>514materiales/varios</t>
  </si>
  <si>
    <t>415 Devolucion Capital</t>
  </si>
  <si>
    <t>416 Oficina</t>
  </si>
  <si>
    <t>Presupuesto</t>
  </si>
  <si>
    <t>Actual</t>
  </si>
  <si>
    <t>Variación</t>
  </si>
  <si>
    <t>TOTAL</t>
  </si>
  <si>
    <t>INGRESOS</t>
  </si>
  <si>
    <t>GASTOS</t>
  </si>
  <si>
    <t>PANEL DE INGRESOS</t>
  </si>
  <si>
    <t>Ingresos Brutos</t>
  </si>
  <si>
    <t>Monto de Impuestos</t>
  </si>
  <si>
    <t>Ingresos Netos</t>
  </si>
  <si>
    <t>ID</t>
  </si>
  <si>
    <t>Fecha</t>
  </si>
  <si>
    <t>Categoría</t>
  </si>
  <si>
    <t>Descripción</t>
  </si>
  <si>
    <t>Mét. De Pago</t>
  </si>
  <si>
    <t>Ingreso Total</t>
  </si>
  <si>
    <t>Impuesto</t>
  </si>
  <si>
    <t>Valor Impuesto</t>
  </si>
  <si>
    <t>Total Neto</t>
  </si>
  <si>
    <t>Notas</t>
  </si>
  <si>
    <t>D</t>
  </si>
  <si>
    <t>Fac 621</t>
  </si>
  <si>
    <t>Transferencias</t>
  </si>
  <si>
    <t>I. Municipalidad de Temuco.</t>
  </si>
  <si>
    <t>F.616</t>
  </si>
  <si>
    <t xml:space="preserve"> MONTO FACTURA 969.882 COMISION DE 94.933</t>
  </si>
  <si>
    <t>F618</t>
  </si>
  <si>
    <t>MONTO FACTURA 545.273 COMISION 26.506</t>
  </si>
  <si>
    <t>617 Y 622</t>
  </si>
  <si>
    <t>MONTO FACATURAS 2.103.773 SE PAGO FACTURA TALCA POR 594.952</t>
  </si>
  <si>
    <t>F</t>
  </si>
  <si>
    <t>MONTO FACTURA 1.105.009 COMISION 99.704</t>
  </si>
  <si>
    <t>F 631</t>
  </si>
  <si>
    <t>MONTO FACTURA 949.506 COMISION 96.907</t>
  </si>
  <si>
    <t>F.632</t>
  </si>
  <si>
    <t>MONTO FACTURA 326.404 COMISION 56.456</t>
  </si>
  <si>
    <t>F.635</t>
  </si>
  <si>
    <t>MONTO FACTURA 615.140 PAGO FACTURA RETIRO POR 238.964</t>
  </si>
  <si>
    <t>EXCEDENTES</t>
  </si>
  <si>
    <t>F 604</t>
  </si>
  <si>
    <t>TESORERIA PROVINCIAL DE MALLECO ANGOL</t>
  </si>
  <si>
    <t>F 589</t>
  </si>
  <si>
    <t>MODULOS WEWFE LIMITADA</t>
  </si>
  <si>
    <t>ILUSTRE MUNICIPALIDAD DE NINHUE DEPARTAMENTO
DE SALUD</t>
  </si>
  <si>
    <t>PAGO CLIENTES</t>
  </si>
  <si>
    <t>MUNICIPLAIDAD LAGO RANCO</t>
  </si>
  <si>
    <t>24-3-206</t>
  </si>
  <si>
    <t>MUNICIPALIDAD DE TEMUCO</t>
  </si>
  <si>
    <t xml:space="preserve">             PANEL DE GASTOS</t>
  </si>
  <si>
    <t>Gastos Brutos</t>
  </si>
  <si>
    <t>Gastos Netos</t>
  </si>
  <si>
    <t>Gasto Total</t>
  </si>
  <si>
    <t>Ingreso del 6-08-25</t>
  </si>
  <si>
    <t>Prestamo de V. R a EXT.Real</t>
  </si>
  <si>
    <t>pendiente 406.309</t>
  </si>
  <si>
    <t>Oficina</t>
  </si>
  <si>
    <t>pago a Gabriel Lopez</t>
  </si>
  <si>
    <t xml:space="preserve">Alimento </t>
  </si>
  <si>
    <t>Gastos oficina varios</t>
  </si>
  <si>
    <t>varios oficina</t>
  </si>
  <si>
    <t>personal</t>
  </si>
  <si>
    <t>reunion personal</t>
  </si>
  <si>
    <t>CLIENTE</t>
  </si>
  <si>
    <t>REUNION CLIENTE</t>
  </si>
  <si>
    <t>CLARO</t>
  </si>
  <si>
    <t>ENTEL EMPRESA</t>
  </si>
  <si>
    <t>DIFERENCIA SUELDO MARZO</t>
  </si>
  <si>
    <t>63691 DIFERENCIA A FAVOR DE V.R</t>
  </si>
  <si>
    <t>ARRIENDO OFICINA</t>
  </si>
  <si>
    <t>GABRIEL LOPEZ</t>
  </si>
  <si>
    <t>OCTUBRE-NOVIEMBRE SALDO A CONTADOR</t>
  </si>
  <si>
    <t>PREVIRED PEDIR REMMBOLSO  AFP CAPITAL</t>
  </si>
  <si>
    <t>AFC OCTUBRE</t>
  </si>
  <si>
    <t>MARICEL</t>
  </si>
  <si>
    <t>3 MARZO 2026</t>
  </si>
  <si>
    <t xml:space="preserve">            PANEL DE COSTOS</t>
  </si>
  <si>
    <t>Costos Brutos</t>
  </si>
  <si>
    <t>Costos Netos</t>
  </si>
  <si>
    <t>Costo Total</t>
  </si>
  <si>
    <t>MARZO 2026</t>
  </si>
  <si>
    <t>Motobomba</t>
  </si>
  <si>
    <t>Debito</t>
  </si>
  <si>
    <t>mantención Red Seca</t>
  </si>
  <si>
    <t>Ext. Soporte, Piton</t>
  </si>
  <si>
    <t>Fac 33276/FireMaster</t>
  </si>
  <si>
    <t>O.T 010-23-379753</t>
  </si>
  <si>
    <t>Retiro pedido fireMaster-Fac 33276</t>
  </si>
  <si>
    <t>515 Transporte/Combustible</t>
  </si>
  <si>
    <t>DYFX20</t>
  </si>
  <si>
    <t xml:space="preserve">camioneta transporte de herramientas </t>
  </si>
  <si>
    <t>R.R</t>
  </si>
  <si>
    <t>A.S</t>
  </si>
  <si>
    <t>COMBUSTIBLE</t>
  </si>
  <si>
    <t>PAGO FACTURAS 4105 Y 4201</t>
  </si>
  <si>
    <t>COMBUSTIBLE DYFX20</t>
  </si>
  <si>
    <t>INSUMOS</t>
  </si>
  <si>
    <t xml:space="preserve">REUNION </t>
  </si>
  <si>
    <t>Resumen anual: Ingresos vs Gastos</t>
  </si>
  <si>
    <t>CATEGORÍAS DE INGRESOS</t>
  </si>
  <si>
    <t>CATEGORÍAS DE GASTOS</t>
  </si>
  <si>
    <t>Gastos y Costos Totales</t>
  </si>
  <si>
    <t>Reaultado por Mes</t>
  </si>
  <si>
    <t>Saldo Acumulado</t>
  </si>
  <si>
    <t>Pre. Acumulativo</t>
  </si>
  <si>
    <t>Ingreso Acumulativo</t>
  </si>
  <si>
    <t>Gastos Acumulativos</t>
  </si>
  <si>
    <t>CATEGORÍAS DE COSTOS</t>
  </si>
  <si>
    <t>DETALLE DE CAJAS</t>
  </si>
  <si>
    <t>A.S N°1 CAJA ___</t>
  </si>
  <si>
    <t>R.R N°2 CAJA___</t>
  </si>
  <si>
    <t>F.S N°3 CAJA___</t>
  </si>
  <si>
    <t>V.R N°4 CAJA___</t>
  </si>
  <si>
    <t>R.R N°2. 1</t>
  </si>
  <si>
    <t>FECHA</t>
  </si>
  <si>
    <t>TRABAJADOR</t>
  </si>
  <si>
    <t>TIPO REGISTRO</t>
  </si>
  <si>
    <t>CATEGORIA</t>
  </si>
  <si>
    <t>SUBCATEGORIA</t>
  </si>
  <si>
    <t>DESCRIPCION</t>
  </si>
  <si>
    <t>INGRESO</t>
  </si>
  <si>
    <t>EGRESO</t>
  </si>
  <si>
    <t>ANTICIPO</t>
  </si>
  <si>
    <t>OBLIGATORIO</t>
  </si>
  <si>
    <t>VIATICOS</t>
  </si>
  <si>
    <t>ENTREGA</t>
  </si>
  <si>
    <t>RENDICION</t>
  </si>
  <si>
    <t>cuando entregas viático</t>
  </si>
  <si>
    <t>ENTREGA-TRANSFERENCIA</t>
  </si>
  <si>
    <t>TRABAJO PILOTO PARDO</t>
  </si>
  <si>
    <t xml:space="preserve">CATEGORIA </t>
  </si>
  <si>
    <t>VIATICO REGISTRA COMO GASTO</t>
  </si>
  <si>
    <t>TRASPORTE</t>
  </si>
  <si>
    <t>FAC 5795059</t>
  </si>
  <si>
    <t>PEAJE</t>
  </si>
  <si>
    <t>4 PEAJES THNO-CHILLAN</t>
  </si>
  <si>
    <t>MONTO ENTREGADO</t>
  </si>
  <si>
    <t>A.S N°1 .1</t>
  </si>
  <si>
    <t>cuando registras boletas</t>
  </si>
  <si>
    <t>VIATICO</t>
  </si>
  <si>
    <t>RETIRO CAJERO</t>
  </si>
  <si>
    <t>GASTOS OPERATIVOS</t>
  </si>
  <si>
    <t>ALOJAMIENTO ALIMENTACION TRANSPORTE</t>
  </si>
  <si>
    <t>ENCOMIENDA</t>
  </si>
  <si>
    <t>ECOEX-TRANSPORTE</t>
  </si>
  <si>
    <t>RETIRO ENCOMIENDA</t>
  </si>
  <si>
    <t>HOTEL COLACION COMBUSTIBLE PEAJES</t>
  </si>
  <si>
    <t>ALIMENTACION</t>
  </si>
  <si>
    <t>COLACION</t>
  </si>
  <si>
    <t>INSUMO</t>
  </si>
  <si>
    <t>INSUMO- MOTOBOMBA</t>
  </si>
  <si>
    <t>ACEITE</t>
  </si>
  <si>
    <t>CUADRADA</t>
  </si>
  <si>
    <t>RESUMEN POR TRABAJADOR</t>
  </si>
  <si>
    <t>TOTAL VIATICO REGISTRO COMO GASTO</t>
  </si>
  <si>
    <t>TOTAL COMBUSTIBLE REGISTRO COMO COSTO</t>
  </si>
  <si>
    <t>A.S 1.5</t>
  </si>
  <si>
    <t>SALDO AZUL, POR RENDIR POR EL TRABAJADOR</t>
  </si>
  <si>
    <t>SALDO ROJO, DEVOLVER A TRABAJADOR</t>
  </si>
  <si>
    <t>GIRO</t>
  </si>
  <si>
    <t xml:space="preserve">ECOEX </t>
  </si>
  <si>
    <t xml:space="preserve">VARIOS </t>
  </si>
  <si>
    <t>HIDROCENTRO</t>
  </si>
  <si>
    <t>F.266231</t>
  </si>
  <si>
    <t>ACCESORIOS MATERIALES</t>
  </si>
  <si>
    <t>TRANSFERENCIA</t>
  </si>
  <si>
    <t>VARIOS</t>
  </si>
  <si>
    <t xml:space="preserve">GASTO EFECTICO </t>
  </si>
  <si>
    <t>VARIO</t>
  </si>
  <si>
    <t xml:space="preserve"> EFECTICO ESTACIONAMIENTO/VIATICO</t>
  </si>
  <si>
    <t>PASAJES</t>
  </si>
  <si>
    <t xml:space="preserve">PASAJES- 3406159-34 CONCEPCION CHILLAN </t>
  </si>
  <si>
    <t xml:space="preserve">A.S </t>
  </si>
  <si>
    <t>REUNION</t>
  </si>
  <si>
    <t>REUNION PERSONAL TECNICO</t>
  </si>
  <si>
    <t>A.S N°1 . 2</t>
  </si>
  <si>
    <t>FACTURA/BOLETA</t>
  </si>
  <si>
    <t>BULNES</t>
  </si>
  <si>
    <t>NUEVA ALDEA</t>
  </si>
  <si>
    <t>CHILLAN NORTE</t>
  </si>
  <si>
    <t>AGUA AMARILLA</t>
  </si>
  <si>
    <t xml:space="preserve">R.R </t>
  </si>
  <si>
    <t>R.R N°2 . 2</t>
  </si>
  <si>
    <t>JUNJI ÑUBLE</t>
  </si>
  <si>
    <t>FACT 656117</t>
  </si>
  <si>
    <t>VUELTO</t>
  </si>
  <si>
    <t xml:space="preserve">TRANSFERENCIA CTA BANCO ESTADO </t>
  </si>
  <si>
    <t>EMPRESA DEBE  DEVOLVER ESTE MONTO</t>
  </si>
  <si>
    <t>A.S N°1. 3</t>
  </si>
  <si>
    <t>INGRESO/ PAGO A TRABAJOR</t>
  </si>
  <si>
    <t>PROVEHEDOR</t>
  </si>
  <si>
    <t>PEDRO FIGURA COLLARINES Y FECHAS</t>
  </si>
  <si>
    <t>VEHICULOS</t>
  </si>
  <si>
    <t>MANTENCION</t>
  </si>
  <si>
    <t>P. CIRCULACION JYWT12</t>
  </si>
  <si>
    <t xml:space="preserve">MAS MULTA </t>
  </si>
  <si>
    <t>SEGURO JYWT12</t>
  </si>
  <si>
    <t>SEGURO</t>
  </si>
  <si>
    <t>SEGURO DYFX20</t>
  </si>
  <si>
    <t>MATERIALES</t>
  </si>
  <si>
    <t xml:space="preserve">MATERIALES PARA MANTENCION  INACAP </t>
  </si>
  <si>
    <r>
      <rPr>
        <b/>
        <sz val="11"/>
        <color theme="1"/>
        <rFont val="Calibri"/>
        <family val="2"/>
        <scheme val="minor"/>
      </rPr>
      <t>FACT 193742</t>
    </r>
    <r>
      <rPr>
        <sz val="11"/>
        <color theme="1"/>
        <rFont val="Calibri"/>
        <family val="2"/>
        <scheme val="minor"/>
      </rPr>
      <t xml:space="preserve"> HIDROCENTRO</t>
    </r>
  </si>
  <si>
    <t>A.S N°1 . 4</t>
  </si>
  <si>
    <t>RADIOS 2</t>
  </si>
  <si>
    <t>PRECINTOS</t>
  </si>
  <si>
    <t>POR DEVOLVER A.S 12-4-26  298.240 PAGADO 300.000 DIFERENCIA 1760</t>
  </si>
  <si>
    <t>CAJA 1.5  8.290</t>
  </si>
  <si>
    <t>A.S 1.6</t>
  </si>
  <si>
    <t>FONDO A RENDIR</t>
  </si>
  <si>
    <t>PERSONAL TERRENO</t>
  </si>
  <si>
    <t>BOLETAS</t>
  </si>
  <si>
    <t>COLACIONES PER, TERRENO</t>
  </si>
  <si>
    <t>A.S 1.7</t>
  </si>
  <si>
    <t>VARIOS INSUMO PERSONAL TERRENO</t>
  </si>
  <si>
    <t xml:space="preserve">6 REGISTROS </t>
  </si>
  <si>
    <t>9 Y 10-04-26</t>
  </si>
  <si>
    <t>PEAJES</t>
  </si>
  <si>
    <t>4 REGISTROS</t>
  </si>
  <si>
    <t>F.S 3.1</t>
  </si>
  <si>
    <t>F.S</t>
  </si>
  <si>
    <t>UBER</t>
  </si>
  <si>
    <t>CHILLAN- CONCEPCION AEROPUERTO</t>
  </si>
  <si>
    <t>BONO</t>
  </si>
  <si>
    <t>V.R 4.1</t>
  </si>
  <si>
    <t>V.R</t>
  </si>
  <si>
    <t xml:space="preserve">CASA </t>
  </si>
  <si>
    <t>A.S 1.8</t>
  </si>
  <si>
    <t>EFECTIVO RETIRO CAJERO</t>
  </si>
  <si>
    <t xml:space="preserve">COLACION </t>
  </si>
  <si>
    <t>R.R 2.3</t>
  </si>
  <si>
    <t>ECOEX</t>
  </si>
  <si>
    <t>RETIRO CORP Y FIREMASTER</t>
  </si>
  <si>
    <t>OT 010-23-388812</t>
  </si>
  <si>
    <t>OT 010-23-388829</t>
  </si>
  <si>
    <t>F. 8223</t>
  </si>
  <si>
    <t>F. 18094</t>
  </si>
  <si>
    <t>A.S 1.9</t>
  </si>
  <si>
    <t>GIRO CAJERO SANTANDER</t>
  </si>
  <si>
    <t>INSUMOS PERSONAL TERRENO</t>
  </si>
  <si>
    <t>REGALO PEROSNAL R.R</t>
  </si>
  <si>
    <t>ESTACIONAMIENTO</t>
  </si>
  <si>
    <t>A.S 1.10</t>
  </si>
  <si>
    <t>TRANSFERENCIAS DESDE SANTANDER</t>
  </si>
  <si>
    <t>ALMUERZOS</t>
  </si>
  <si>
    <t>INSUMOS OFIICNA</t>
  </si>
  <si>
    <t>BOLETA 15739</t>
  </si>
  <si>
    <t xml:space="preserve">COMBUSTIBLE </t>
  </si>
  <si>
    <t>F. 3670456</t>
  </si>
  <si>
    <t>ROCIADOR</t>
  </si>
  <si>
    <t>F. 4273</t>
  </si>
  <si>
    <t>REPUESTO</t>
  </si>
  <si>
    <t>F. 3670455</t>
  </si>
  <si>
    <t>OFICINA</t>
  </si>
  <si>
    <t>BOTIQUIN</t>
  </si>
  <si>
    <t>COLACION PERSONAL TERRENO</t>
  </si>
  <si>
    <t>DESAYUNO</t>
  </si>
  <si>
    <t>ONCE</t>
  </si>
  <si>
    <t>ALMUERZO</t>
  </si>
  <si>
    <t>VISITA CLIENTE</t>
  </si>
  <si>
    <t>A.S 1.11</t>
  </si>
  <si>
    <t xml:space="preserve">TRANSFERENCIA </t>
  </si>
  <si>
    <t>DESDE BCO SANTANDER</t>
  </si>
  <si>
    <t xml:space="preserve">INSUMOS PERSONAL </t>
  </si>
  <si>
    <t>TERRENO</t>
  </si>
  <si>
    <t>A.S 1.12</t>
  </si>
  <si>
    <t>BNCO SANTANDER</t>
  </si>
  <si>
    <t xml:space="preserve">MATERIALES </t>
  </si>
  <si>
    <t>EMPAQUETADURA COMPRESOR</t>
  </si>
  <si>
    <t>INSUMO TALLER 1</t>
  </si>
  <si>
    <t>PASAJES PERSONAL</t>
  </si>
  <si>
    <t>MATIAS SEGUEL</t>
  </si>
  <si>
    <t>CONCEPCION - CHILLAN</t>
  </si>
  <si>
    <t>EFECTIVO</t>
  </si>
  <si>
    <t>VIAJE</t>
  </si>
  <si>
    <t xml:space="preserve">COLACION PERSONAL </t>
  </si>
  <si>
    <t>A.S 1.13</t>
  </si>
  <si>
    <t>ALINEACION DYFX20</t>
  </si>
  <si>
    <t>4-MAYO-25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</si>
</sst>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6" formatCode="mmm"/>
    <numFmt numFmtId="168" formatCode="_-* #,##0.0_-;\-* #,##0.0_-;_-* &quot;-&quot;??_-;_-@_-"/>
    <numFmt numFmtId="170" formatCode="dd\-mmm\-yy"/>
    <numFmt numFmtId="171" formatCode="_-* #,##0_-;\-* #,##0_-;_-* &quot;-&quot;??_-;_-@_-"/>
    <numFmt numFmtId="172" formatCode="_ &quot;$&quot;* #,##0.0_ ;_ &quot;$&quot;* \-#,##0.0_ ;_ &quot;$&quot;* &quot;-&quot;_ ;_ @_ "/>
    <numFmt numFmtId="173" formatCode="[Blue]#,##0;[Red]\-#,##0;General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Yu Gothic UI"/>
      <family val="2"/>
    </font>
    <font>
      <b/>
      <sz val="18"/>
      <color theme="0"/>
      <name val="Yu Gothic UI"/>
      <family val="2"/>
    </font>
    <font>
      <b/>
      <sz val="12"/>
      <color theme="0"/>
      <name val="Yu Gothic UI"/>
      <family val="2"/>
    </font>
    <font>
      <b/>
      <sz val="12"/>
      <name val="Yu Gothic UI"/>
      <family val="2"/>
    </font>
    <font>
      <sz val="12"/>
      <color theme="1"/>
      <name val="Yu Gothic UI"/>
      <family val="2"/>
    </font>
    <font>
      <sz val="12"/>
      <color theme="0"/>
      <name val="Yu Gothic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C221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rgb="FF000000"/>
      <name val="Calibri"/>
      <family val="2"/>
    </font>
    <font>
      <sz val="11"/>
      <color rgb="FF242424"/>
      <name val="Aptos Narrow"/>
      <charset val="1"/>
    </font>
    <font>
      <sz val="12"/>
      <name val="Yu Gothic UI"/>
    </font>
    <font>
      <b/>
      <sz val="14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77E4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FFF7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77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EAC68"/>
        <bgColor indexed="64"/>
      </patternFill>
    </fill>
    <fill>
      <patternFill patternType="solid">
        <fgColor rgb="FFFF9F9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60">
    <xf numFmtId="0" fontId="0" fillId="0" borderId="0" xfId="0"/>
    <xf numFmtId="0" fontId="2" fillId="0" borderId="0" xfId="0" applyFont="1"/>
    <xf numFmtId="0" fontId="2" fillId="0" borderId="1" xfId="0" applyFont="1" applyBorder="1"/>
    <xf numFmtId="17" fontId="2" fillId="0" borderId="1" xfId="0" applyNumberFormat="1" applyFont="1" applyBorder="1"/>
    <xf numFmtId="17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/>
    <xf numFmtId="166" fontId="2" fillId="0" borderId="1" xfId="0" applyNumberFormat="1" applyFont="1" applyBorder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8" fillId="3" borderId="8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3" fillId="0" borderId="0" xfId="1" applyFont="1" applyBorder="1" applyAlignment="1">
      <alignment horizontal="center"/>
    </xf>
    <xf numFmtId="168" fontId="3" fillId="4" borderId="0" xfId="2" applyNumberFormat="1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left"/>
    </xf>
    <xf numFmtId="0" fontId="8" fillId="7" borderId="8" xfId="0" applyFont="1" applyFill="1" applyBorder="1" applyAlignment="1">
      <alignment horizontal="center" vertical="center"/>
    </xf>
    <xf numFmtId="17" fontId="2" fillId="0" borderId="0" xfId="0" applyNumberFormat="1" applyFont="1"/>
    <xf numFmtId="0" fontId="8" fillId="5" borderId="1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171" fontId="3" fillId="4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18" xfId="0" applyBorder="1" applyAlignment="1">
      <alignment horizontal="center"/>
    </xf>
    <xf numFmtId="42" fontId="0" fillId="0" borderId="0" xfId="4" applyFont="1" applyAlignment="1">
      <alignment horizontal="center"/>
    </xf>
    <xf numFmtId="42" fontId="0" fillId="0" borderId="1" xfId="4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42" fontId="0" fillId="0" borderId="22" xfId="4" applyFont="1" applyBorder="1" applyAlignment="1">
      <alignment horizontal="center"/>
    </xf>
    <xf numFmtId="42" fontId="0" fillId="0" borderId="23" xfId="4" applyFont="1" applyBorder="1" applyAlignment="1"/>
    <xf numFmtId="14" fontId="0" fillId="0" borderId="24" xfId="0" applyNumberFormat="1" applyBorder="1" applyAlignment="1">
      <alignment horizontal="center"/>
    </xf>
    <xf numFmtId="42" fontId="0" fillId="0" borderId="25" xfId="4" applyFont="1" applyBorder="1" applyAlignment="1">
      <alignment horizontal="center"/>
    </xf>
    <xf numFmtId="42" fontId="0" fillId="0" borderId="0" xfId="4" applyFont="1" applyBorder="1" applyAlignment="1">
      <alignment horizontal="center"/>
    </xf>
    <xf numFmtId="42" fontId="0" fillId="12" borderId="14" xfId="4" applyFont="1" applyFill="1" applyBorder="1" applyAlignment="1">
      <alignment horizontal="center"/>
    </xf>
    <xf numFmtId="42" fontId="12" fillId="15" borderId="16" xfId="4" applyFont="1" applyFill="1" applyBorder="1" applyAlignment="1">
      <alignment horizontal="center"/>
    </xf>
    <xf numFmtId="42" fontId="0" fillId="15" borderId="19" xfId="4" applyFont="1" applyFill="1" applyBorder="1" applyAlignment="1">
      <alignment horizontal="center"/>
    </xf>
    <xf numFmtId="42" fontId="12" fillId="16" borderId="17" xfId="4" applyFont="1" applyFill="1" applyBorder="1" applyAlignment="1">
      <alignment horizontal="center"/>
    </xf>
    <xf numFmtId="42" fontId="0" fillId="16" borderId="20" xfId="4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170" fontId="3" fillId="8" borderId="0" xfId="0" applyNumberFormat="1" applyFont="1" applyFill="1" applyAlignment="1">
      <alignment horizontal="left"/>
    </xf>
    <xf numFmtId="168" fontId="3" fillId="8" borderId="0" xfId="2" applyNumberFormat="1" applyFont="1" applyFill="1" applyBorder="1" applyAlignment="1">
      <alignment horizontal="center"/>
    </xf>
    <xf numFmtId="9" fontId="3" fillId="8" borderId="0" xfId="1" applyFont="1" applyFill="1" applyBorder="1" applyAlignment="1">
      <alignment horizontal="center"/>
    </xf>
    <xf numFmtId="168" fontId="3" fillId="4" borderId="0" xfId="2" applyNumberFormat="1" applyFont="1" applyFill="1" applyAlignment="1">
      <alignment horizontal="center"/>
    </xf>
    <xf numFmtId="0" fontId="3" fillId="9" borderId="0" xfId="0" applyFont="1" applyFill="1" applyAlignment="1">
      <alignment horizontal="left" vertical="center"/>
    </xf>
    <xf numFmtId="42" fontId="7" fillId="0" borderId="0" xfId="4" applyFont="1" applyAlignment="1">
      <alignment horizontal="left"/>
    </xf>
    <xf numFmtId="42" fontId="3" fillId="0" borderId="0" xfId="4" applyFont="1" applyAlignment="1">
      <alignment horizontal="left"/>
    </xf>
    <xf numFmtId="42" fontId="8" fillId="7" borderId="8" xfId="4" applyFont="1" applyFill="1" applyBorder="1" applyAlignment="1">
      <alignment horizontal="center" vertical="center"/>
    </xf>
    <xf numFmtId="42" fontId="3" fillId="0" borderId="0" xfId="4" applyFont="1" applyBorder="1" applyAlignment="1">
      <alignment horizontal="center"/>
    </xf>
    <xf numFmtId="42" fontId="0" fillId="0" borderId="11" xfId="4" applyFont="1" applyBorder="1" applyAlignment="1">
      <alignment horizontal="center"/>
    </xf>
    <xf numFmtId="3" fontId="3" fillId="0" borderId="0" xfId="0" applyNumberFormat="1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2" fontId="0" fillId="17" borderId="0" xfId="4" applyFont="1" applyFill="1" applyBorder="1" applyAlignment="1">
      <alignment horizontal="center"/>
    </xf>
    <xf numFmtId="42" fontId="11" fillId="0" borderId="0" xfId="4" applyFon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42" fontId="0" fillId="0" borderId="31" xfId="4" applyFont="1" applyBorder="1" applyAlignment="1">
      <alignment horizontal="center"/>
    </xf>
    <xf numFmtId="42" fontId="0" fillId="0" borderId="32" xfId="4" applyFont="1" applyBorder="1" applyAlignment="1">
      <alignment horizontal="center"/>
    </xf>
    <xf numFmtId="0" fontId="12" fillId="19" borderId="15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42" fontId="8" fillId="6" borderId="8" xfId="4" applyFont="1" applyFill="1" applyBorder="1" applyAlignment="1">
      <alignment horizontal="center" vertical="center"/>
    </xf>
    <xf numFmtId="42" fontId="3" fillId="0" borderId="0" xfId="4" applyFont="1" applyAlignment="1">
      <alignment horizontal="center"/>
    </xf>
    <xf numFmtId="42" fontId="0" fillId="0" borderId="1" xfId="0" applyNumberFormat="1" applyBorder="1" applyAlignment="1">
      <alignment horizontal="center"/>
    </xf>
    <xf numFmtId="0" fontId="0" fillId="19" borderId="28" xfId="0" applyFill="1" applyBorder="1" applyAlignment="1">
      <alignment horizontal="center"/>
    </xf>
    <xf numFmtId="42" fontId="0" fillId="15" borderId="0" xfId="4" applyFont="1" applyFill="1" applyBorder="1" applyAlignment="1">
      <alignment horizontal="center"/>
    </xf>
    <xf numFmtId="42" fontId="0" fillId="16" borderId="29" xfId="4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42" fontId="3" fillId="4" borderId="0" xfId="4" applyFont="1" applyFill="1" applyBorder="1" applyAlignment="1">
      <alignment horizontal="center"/>
    </xf>
    <xf numFmtId="42" fontId="0" fillId="0" borderId="7" xfId="4" applyFont="1" applyBorder="1"/>
    <xf numFmtId="42" fontId="0" fillId="0" borderId="0" xfId="4" applyFont="1" applyBorder="1"/>
    <xf numFmtId="0" fontId="16" fillId="0" borderId="0" xfId="0" applyFont="1"/>
    <xf numFmtId="0" fontId="16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2" fillId="21" borderId="34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22" borderId="35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12" fillId="9" borderId="15" xfId="0" applyFont="1" applyFill="1" applyBorder="1" applyAlignment="1">
      <alignment horizontal="center"/>
    </xf>
    <xf numFmtId="0" fontId="12" fillId="9" borderId="16" xfId="0" applyFon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0" xfId="0" applyFill="1" applyAlignment="1">
      <alignment horizontal="center"/>
    </xf>
    <xf numFmtId="42" fontId="0" fillId="12" borderId="11" xfId="4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42" fontId="0" fillId="17" borderId="1" xfId="4" applyFont="1" applyFill="1" applyBorder="1" applyAlignment="1">
      <alignment horizontal="center"/>
    </xf>
    <xf numFmtId="42" fontId="3" fillId="0" borderId="0" xfId="4" applyFont="1" applyAlignment="1">
      <alignment horizontal="left" vertical="center"/>
    </xf>
    <xf numFmtId="0" fontId="17" fillId="17" borderId="14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42" fontId="19" fillId="20" borderId="14" xfId="4" applyFont="1" applyFill="1" applyBorder="1" applyAlignment="1">
      <alignment horizontal="center"/>
    </xf>
    <xf numFmtId="42" fontId="0" fillId="12" borderId="27" xfId="4" applyFont="1" applyFill="1" applyBorder="1" applyAlignment="1">
      <alignment horizontal="center"/>
    </xf>
    <xf numFmtId="42" fontId="0" fillId="0" borderId="23" xfId="4" applyFont="1" applyBorder="1" applyAlignment="1">
      <alignment horizontal="center"/>
    </xf>
    <xf numFmtId="42" fontId="0" fillId="0" borderId="36" xfId="4" applyFon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42" fontId="0" fillId="0" borderId="38" xfId="4" applyFont="1" applyBorder="1" applyAlignment="1">
      <alignment horizontal="center"/>
    </xf>
    <xf numFmtId="42" fontId="0" fillId="0" borderId="39" xfId="4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  <xf numFmtId="42" fontId="0" fillId="0" borderId="6" xfId="4" applyFont="1" applyBorder="1" applyAlignment="1">
      <alignment horizontal="center"/>
    </xf>
    <xf numFmtId="42" fontId="16" fillId="0" borderId="36" xfId="4" applyFont="1" applyBorder="1" applyAlignment="1">
      <alignment horizontal="right"/>
    </xf>
    <xf numFmtId="42" fontId="0" fillId="0" borderId="41" xfId="4" applyFont="1" applyBorder="1" applyAlignment="1">
      <alignment horizontal="center"/>
    </xf>
    <xf numFmtId="42" fontId="21" fillId="17" borderId="14" xfId="4" applyFont="1" applyFill="1" applyBorder="1" applyAlignment="1">
      <alignment horizontal="right"/>
    </xf>
    <xf numFmtId="0" fontId="12" fillId="21" borderId="14" xfId="0" applyFont="1" applyFill="1" applyBorder="1" applyAlignment="1">
      <alignment horizontal="center"/>
    </xf>
    <xf numFmtId="0" fontId="23" fillId="20" borderId="1" xfId="0" applyFont="1" applyFill="1" applyBorder="1" applyAlignment="1">
      <alignment horizontal="center"/>
    </xf>
    <xf numFmtId="0" fontId="0" fillId="23" borderId="14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2" fontId="21" fillId="0" borderId="0" xfId="4" applyFon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42" fontId="0" fillId="12" borderId="36" xfId="4" applyFont="1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42" fontId="12" fillId="18" borderId="6" xfId="4" applyFont="1" applyFill="1" applyBorder="1" applyAlignment="1">
      <alignment horizontal="center"/>
    </xf>
    <xf numFmtId="42" fontId="12" fillId="20" borderId="14" xfId="4" applyFont="1" applyFill="1" applyBorder="1" applyAlignment="1">
      <alignment horizontal="center"/>
    </xf>
    <xf numFmtId="42" fontId="0" fillId="0" borderId="44" xfId="4" applyFont="1" applyBorder="1" applyAlignment="1">
      <alignment horizontal="center"/>
    </xf>
    <xf numFmtId="42" fontId="16" fillId="12" borderId="14" xfId="4" applyFont="1" applyFill="1" applyBorder="1" applyAlignment="1">
      <alignment horizontal="center"/>
    </xf>
    <xf numFmtId="42" fontId="16" fillId="17" borderId="25" xfId="4" applyFont="1" applyFill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4" applyNumberFormat="1" applyFont="1" applyAlignment="1">
      <alignment horizontal="center"/>
    </xf>
    <xf numFmtId="173" fontId="20" fillId="0" borderId="27" xfId="4" applyNumberFormat="1" applyFont="1" applyBorder="1" applyAlignment="1">
      <alignment horizontal="center"/>
    </xf>
    <xf numFmtId="42" fontId="22" fillId="0" borderId="14" xfId="4" applyFont="1" applyBorder="1" applyAlignment="1">
      <alignment horizontal="center" vertical="center"/>
    </xf>
    <xf numFmtId="42" fontId="0" fillId="0" borderId="10" xfId="4" applyFont="1" applyBorder="1" applyAlignment="1">
      <alignment horizontal="center"/>
    </xf>
    <xf numFmtId="42" fontId="0" fillId="12" borderId="29" xfId="4" applyFont="1" applyFill="1" applyBorder="1" applyAlignment="1">
      <alignment horizontal="center"/>
    </xf>
    <xf numFmtId="173" fontId="19" fillId="20" borderId="14" xfId="4" applyNumberFormat="1" applyFont="1" applyFill="1" applyBorder="1" applyAlignment="1">
      <alignment horizontal="center"/>
    </xf>
    <xf numFmtId="42" fontId="0" fillId="5" borderId="1" xfId="4" applyFont="1" applyFill="1" applyBorder="1" applyAlignment="1">
      <alignment horizontal="center"/>
    </xf>
    <xf numFmtId="173" fontId="24" fillId="5" borderId="14" xfId="4" applyNumberFormat="1" applyFont="1" applyFill="1" applyBorder="1" applyAlignment="1">
      <alignment horizontal="center"/>
    </xf>
    <xf numFmtId="42" fontId="0" fillId="5" borderId="23" xfId="4" applyFont="1" applyFill="1" applyBorder="1" applyAlignment="1">
      <alignment horizontal="center"/>
    </xf>
    <xf numFmtId="173" fontId="24" fillId="17" borderId="14" xfId="4" applyNumberFormat="1" applyFont="1" applyFill="1" applyBorder="1" applyAlignment="1">
      <alignment horizontal="center"/>
    </xf>
    <xf numFmtId="42" fontId="12" fillId="12" borderId="14" xfId="4" applyFont="1" applyFill="1" applyBorder="1" applyAlignment="1">
      <alignment horizontal="center"/>
    </xf>
    <xf numFmtId="42" fontId="20" fillId="5" borderId="14" xfId="4" applyFont="1" applyFill="1" applyBorder="1" applyAlignment="1">
      <alignment horizontal="center"/>
    </xf>
    <xf numFmtId="42" fontId="12" fillId="5" borderId="14" xfId="4" applyFont="1" applyFill="1" applyBorder="1" applyAlignment="1">
      <alignment horizontal="center"/>
    </xf>
    <xf numFmtId="14" fontId="12" fillId="20" borderId="24" xfId="0" applyNumberFormat="1" applyFont="1" applyFill="1" applyBorder="1" applyAlignment="1">
      <alignment horizontal="center"/>
    </xf>
    <xf numFmtId="42" fontId="0" fillId="16" borderId="40" xfId="4" applyFont="1" applyFill="1" applyBorder="1" applyAlignment="1">
      <alignment horizontal="center"/>
    </xf>
    <xf numFmtId="42" fontId="0" fillId="0" borderId="46" xfId="4" applyFont="1" applyBorder="1" applyAlignment="1">
      <alignment horizontal="center"/>
    </xf>
    <xf numFmtId="42" fontId="0" fillId="12" borderId="46" xfId="4" applyFont="1" applyFill="1" applyBorder="1" applyAlignment="1">
      <alignment horizontal="center"/>
    </xf>
    <xf numFmtId="173" fontId="20" fillId="5" borderId="14" xfId="4" applyNumberFormat="1" applyFont="1" applyFill="1" applyBorder="1" applyAlignment="1">
      <alignment horizontal="center"/>
    </xf>
    <xf numFmtId="42" fontId="0" fillId="0" borderId="14" xfId="4" applyFont="1" applyBorder="1" applyAlignment="1">
      <alignment horizontal="center"/>
    </xf>
    <xf numFmtId="42" fontId="0" fillId="5" borderId="14" xfId="4" applyFont="1" applyFill="1" applyBorder="1" applyAlignment="1">
      <alignment horizontal="center"/>
    </xf>
    <xf numFmtId="42" fontId="12" fillId="17" borderId="6" xfId="4" applyFont="1" applyFill="1" applyBorder="1" applyAlignment="1">
      <alignment horizontal="center"/>
    </xf>
    <xf numFmtId="42" fontId="12" fillId="5" borderId="1" xfId="4" applyFont="1" applyFill="1" applyBorder="1" applyAlignment="1">
      <alignment horizontal="center"/>
    </xf>
    <xf numFmtId="42" fontId="25" fillId="20" borderId="14" xfId="4" applyFont="1" applyFill="1" applyBorder="1" applyAlignment="1">
      <alignment horizontal="center"/>
    </xf>
    <xf numFmtId="42" fontId="20" fillId="5" borderId="6" xfId="4" applyFont="1" applyFill="1" applyBorder="1" applyAlignment="1">
      <alignment horizontal="center"/>
    </xf>
    <xf numFmtId="42" fontId="20" fillId="5" borderId="41" xfId="4" applyFont="1" applyFill="1" applyBorder="1" applyAlignment="1">
      <alignment horizontal="center"/>
    </xf>
    <xf numFmtId="0" fontId="20" fillId="18" borderId="1" xfId="0" applyFont="1" applyFill="1" applyBorder="1" applyAlignment="1">
      <alignment horizontal="center"/>
    </xf>
    <xf numFmtId="0" fontId="20" fillId="5" borderId="38" xfId="0" applyFont="1" applyFill="1" applyBorder="1" applyAlignment="1">
      <alignment horizontal="center"/>
    </xf>
    <xf numFmtId="42" fontId="12" fillId="20" borderId="26" xfId="4" applyFont="1" applyFill="1" applyBorder="1" applyAlignment="1">
      <alignment horizontal="center"/>
    </xf>
    <xf numFmtId="0" fontId="12" fillId="20" borderId="0" xfId="0" applyFont="1" applyFill="1" applyAlignment="1">
      <alignment horizontal="center"/>
    </xf>
    <xf numFmtId="42" fontId="12" fillId="20" borderId="27" xfId="4" applyFont="1" applyFill="1" applyBorder="1" applyAlignment="1">
      <alignment horizontal="center"/>
    </xf>
    <xf numFmtId="42" fontId="12" fillId="24" borderId="40" xfId="4" applyFont="1" applyFill="1" applyBorder="1" applyAlignment="1">
      <alignment horizontal="center"/>
    </xf>
    <xf numFmtId="42" fontId="0" fillId="0" borderId="19" xfId="4" applyFont="1" applyBorder="1" applyAlignment="1">
      <alignment horizontal="center"/>
    </xf>
    <xf numFmtId="42" fontId="12" fillId="5" borderId="1" xfId="4" applyFont="1" applyFill="1" applyBorder="1" applyAlignment="1">
      <alignment vertical="top"/>
    </xf>
    <xf numFmtId="42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0" fillId="10" borderId="14" xfId="0" applyFill="1" applyBorder="1" applyAlignment="1">
      <alignment horizontal="center"/>
    </xf>
    <xf numFmtId="42" fontId="21" fillId="17" borderId="29" xfId="4" applyFont="1" applyFill="1" applyBorder="1" applyAlignment="1">
      <alignment horizontal="right"/>
    </xf>
    <xf numFmtId="42" fontId="16" fillId="0" borderId="39" xfId="4" applyFont="1" applyBorder="1" applyAlignment="1">
      <alignment horizontal="right"/>
    </xf>
    <xf numFmtId="42" fontId="16" fillId="0" borderId="23" xfId="4" applyFont="1" applyBorder="1" applyAlignment="1">
      <alignment horizontal="right"/>
    </xf>
    <xf numFmtId="173" fontId="22" fillId="20" borderId="27" xfId="4" applyNumberFormat="1" applyFont="1" applyFill="1" applyBorder="1" applyAlignment="1">
      <alignment horizontal="center"/>
    </xf>
    <xf numFmtId="3" fontId="0" fillId="20" borderId="14" xfId="0" applyNumberFormat="1" applyFill="1" applyBorder="1" applyAlignment="1">
      <alignment horizontal="center"/>
    </xf>
    <xf numFmtId="173" fontId="20" fillId="0" borderId="14" xfId="4" applyNumberFormat="1" applyFont="1" applyBorder="1" applyAlignment="1">
      <alignment horizontal="center"/>
    </xf>
    <xf numFmtId="173" fontId="20" fillId="20" borderId="14" xfId="4" applyNumberFormat="1" applyFont="1" applyFill="1" applyBorder="1" applyAlignment="1">
      <alignment horizontal="center"/>
    </xf>
    <xf numFmtId="173" fontId="20" fillId="20" borderId="14" xfId="4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19" borderId="4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42" fontId="0" fillId="15" borderId="4" xfId="4" applyFont="1" applyFill="1" applyBorder="1" applyAlignment="1">
      <alignment horizontal="center"/>
    </xf>
    <xf numFmtId="42" fontId="0" fillId="16" borderId="48" xfId="4" applyFont="1" applyFill="1" applyBorder="1" applyAlignment="1">
      <alignment horizontal="center"/>
    </xf>
    <xf numFmtId="42" fontId="12" fillId="0" borderId="1" xfId="4" applyFont="1" applyBorder="1" applyAlignment="1">
      <alignment horizontal="center"/>
    </xf>
    <xf numFmtId="42" fontId="12" fillId="0" borderId="11" xfId="4" applyFont="1" applyBorder="1" applyAlignment="1">
      <alignment horizontal="center"/>
    </xf>
    <xf numFmtId="170" fontId="3" fillId="0" borderId="0" xfId="0" applyNumberFormat="1" applyFont="1" applyAlignment="1">
      <alignment horizontal="left"/>
    </xf>
    <xf numFmtId="14" fontId="3" fillId="8" borderId="0" xfId="0" applyNumberFormat="1" applyFont="1" applyFill="1" applyAlignment="1">
      <alignment horizontal="center"/>
    </xf>
    <xf numFmtId="42" fontId="3" fillId="8" borderId="0" xfId="4" applyFont="1" applyFill="1" applyBorder="1" applyAlignment="1">
      <alignment horizontal="center"/>
    </xf>
    <xf numFmtId="42" fontId="3" fillId="4" borderId="0" xfId="4" applyFont="1" applyFill="1" applyAlignment="1">
      <alignment horizontal="center"/>
    </xf>
    <xf numFmtId="168" fontId="3" fillId="8" borderId="0" xfId="2" applyNumberFormat="1" applyFont="1" applyFill="1" applyAlignment="1">
      <alignment horizontal="center"/>
    </xf>
    <xf numFmtId="9" fontId="3" fillId="0" borderId="0" xfId="1" applyFont="1" applyAlignment="1">
      <alignment horizontal="center"/>
    </xf>
    <xf numFmtId="42" fontId="3" fillId="9" borderId="0" xfId="4" applyFont="1" applyFill="1" applyBorder="1" applyAlignment="1">
      <alignment horizontal="center"/>
    </xf>
    <xf numFmtId="9" fontId="3" fillId="9" borderId="0" xfId="1" applyFont="1" applyFill="1" applyBorder="1" applyAlignment="1">
      <alignment horizontal="center"/>
    </xf>
    <xf numFmtId="42" fontId="3" fillId="4" borderId="50" xfId="4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170" fontId="3" fillId="0" borderId="0" xfId="0" applyNumberFormat="1" applyFont="1" applyBorder="1" applyAlignment="1">
      <alignment horizontal="left"/>
    </xf>
    <xf numFmtId="0" fontId="3" fillId="9" borderId="0" xfId="0" applyFont="1" applyFill="1" applyBorder="1" applyAlignment="1">
      <alignment horizontal="left" vertical="center"/>
    </xf>
    <xf numFmtId="0" fontId="3" fillId="4" borderId="49" xfId="0" applyFont="1" applyFill="1" applyBorder="1" applyAlignment="1">
      <alignment horizontal="left"/>
    </xf>
    <xf numFmtId="15" fontId="3" fillId="4" borderId="50" xfId="0" applyNumberFormat="1" applyFont="1" applyFill="1" applyBorder="1" applyAlignment="1">
      <alignment horizontal="left"/>
    </xf>
    <xf numFmtId="0" fontId="3" fillId="4" borderId="50" xfId="0" applyFont="1" applyFill="1" applyBorder="1" applyAlignment="1">
      <alignment horizontal="left"/>
    </xf>
    <xf numFmtId="9" fontId="3" fillId="4" borderId="50" xfId="1" applyFont="1" applyFill="1" applyBorder="1" applyAlignment="1">
      <alignment horizontal="center"/>
    </xf>
    <xf numFmtId="0" fontId="3" fillId="4" borderId="51" xfId="0" applyFont="1" applyFill="1" applyBorder="1" applyAlignment="1">
      <alignment horizontal="left"/>
    </xf>
    <xf numFmtId="0" fontId="3" fillId="4" borderId="52" xfId="0" applyFont="1" applyFill="1" applyBorder="1" applyAlignment="1">
      <alignment horizontal="left"/>
    </xf>
    <xf numFmtId="15" fontId="3" fillId="4" borderId="0" xfId="0" applyNumberFormat="1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9" fontId="3" fillId="4" borderId="0" xfId="1" applyFont="1" applyFill="1" applyBorder="1" applyAlignment="1">
      <alignment horizontal="center"/>
    </xf>
    <xf numFmtId="0" fontId="3" fillId="4" borderId="53" xfId="0" applyFont="1" applyFill="1" applyBorder="1" applyAlignment="1">
      <alignment horizontal="left"/>
    </xf>
    <xf numFmtId="170" fontId="3" fillId="4" borderId="0" xfId="0" applyNumberFormat="1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0" fillId="8" borderId="0" xfId="0" applyFill="1" applyBorder="1"/>
    <xf numFmtId="170" fontId="6" fillId="9" borderId="0" xfId="0" applyNumberFormat="1" applyFont="1" applyFill="1" applyBorder="1" applyAlignment="1">
      <alignment horizontal="left" vertical="center" wrapText="1"/>
    </xf>
    <xf numFmtId="173" fontId="14" fillId="25" borderId="14" xfId="4" applyNumberFormat="1" applyFont="1" applyFill="1" applyBorder="1" applyAlignment="1">
      <alignment horizontal="center" vertical="top"/>
    </xf>
    <xf numFmtId="173" fontId="20" fillId="25" borderId="14" xfId="4" applyNumberFormat="1" applyFont="1" applyFill="1" applyBorder="1" applyAlignment="1">
      <alignment horizontal="center"/>
    </xf>
    <xf numFmtId="0" fontId="0" fillId="0" borderId="54" xfId="0" applyBorder="1" applyAlignment="1">
      <alignment horizontal="center"/>
    </xf>
    <xf numFmtId="42" fontId="0" fillId="0" borderId="54" xfId="4" applyFont="1" applyBorder="1" applyAlignment="1">
      <alignment horizontal="center"/>
    </xf>
    <xf numFmtId="0" fontId="0" fillId="9" borderId="0" xfId="0" applyFill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70" fontId="28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42" fontId="28" fillId="0" borderId="0" xfId="4" applyFont="1" applyAlignment="1">
      <alignment horizontal="center"/>
    </xf>
    <xf numFmtId="9" fontId="28" fillId="0" borderId="0" xfId="1" applyFont="1" applyAlignment="1">
      <alignment horizontal="center"/>
    </xf>
    <xf numFmtId="168" fontId="28" fillId="4" borderId="0" xfId="2" applyNumberFormat="1" applyFont="1" applyFill="1" applyAlignment="1">
      <alignment horizontal="center"/>
    </xf>
    <xf numFmtId="0" fontId="0" fillId="0" borderId="55" xfId="0" applyBorder="1" applyAlignment="1">
      <alignment horizontal="center"/>
    </xf>
    <xf numFmtId="42" fontId="0" fillId="0" borderId="55" xfId="4" applyFont="1" applyBorder="1" applyAlignment="1">
      <alignment horizontal="center"/>
    </xf>
    <xf numFmtId="0" fontId="28" fillId="0" borderId="0" xfId="0" applyNumberFormat="1" applyFont="1" applyAlignment="1">
      <alignment horizontal="left"/>
    </xf>
    <xf numFmtId="173" fontId="29" fillId="0" borderId="54" xfId="4" applyNumberFormat="1" applyFont="1" applyBorder="1" applyAlignment="1">
      <alignment horizontal="center"/>
    </xf>
    <xf numFmtId="170" fontId="6" fillId="0" borderId="0" xfId="0" applyNumberFormat="1" applyFont="1" applyBorder="1" applyAlignment="1">
      <alignment horizontal="left" wrapText="1"/>
    </xf>
    <xf numFmtId="170" fontId="3" fillId="8" borderId="0" xfId="0" applyNumberFormat="1" applyFont="1" applyFill="1" applyBorder="1" applyAlignment="1">
      <alignment horizontal="left"/>
    </xf>
    <xf numFmtId="0" fontId="26" fillId="8" borderId="0" xfId="0" applyFont="1" applyFill="1" applyBorder="1"/>
    <xf numFmtId="0" fontId="28" fillId="0" borderId="0" xfId="0" applyFont="1" applyBorder="1" applyAlignment="1">
      <alignment horizontal="left"/>
    </xf>
    <xf numFmtId="170" fontId="28" fillId="0" borderId="0" xfId="0" applyNumberFormat="1" applyFont="1" applyBorder="1" applyAlignment="1">
      <alignment horizontal="left"/>
    </xf>
    <xf numFmtId="42" fontId="28" fillId="0" borderId="0" xfId="4" applyFont="1" applyBorder="1" applyAlignment="1">
      <alignment horizontal="center"/>
    </xf>
    <xf numFmtId="9" fontId="28" fillId="0" borderId="0" xfId="1" applyFont="1" applyBorder="1" applyAlignment="1">
      <alignment horizontal="center"/>
    </xf>
    <xf numFmtId="168" fontId="28" fillId="4" borderId="0" xfId="2" applyNumberFormat="1" applyFont="1" applyFill="1" applyBorder="1" applyAlignment="1">
      <alignment horizontal="center"/>
    </xf>
    <xf numFmtId="0" fontId="27" fillId="0" borderId="0" xfId="0" applyFont="1" applyBorder="1"/>
    <xf numFmtId="0" fontId="4" fillId="2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42" fontId="4" fillId="2" borderId="0" xfId="4" applyFont="1" applyFill="1" applyAlignment="1">
      <alignment horizontal="left" vertical="center"/>
    </xf>
    <xf numFmtId="41" fontId="3" fillId="4" borderId="10" xfId="3" applyFont="1" applyFill="1" applyBorder="1" applyAlignment="1">
      <alignment horizontal="center" vertical="center"/>
    </xf>
    <xf numFmtId="41" fontId="3" fillId="4" borderId="9" xfId="3" applyFont="1" applyFill="1" applyBorder="1" applyAlignment="1">
      <alignment horizontal="center" vertical="center"/>
    </xf>
    <xf numFmtId="42" fontId="3" fillId="4" borderId="9" xfId="4" applyFont="1" applyFill="1" applyBorder="1" applyAlignment="1">
      <alignment horizontal="center" vertical="center"/>
    </xf>
    <xf numFmtId="42" fontId="3" fillId="4" borderId="2" xfId="4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2" fontId="5" fillId="7" borderId="5" xfId="4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5" fillId="20" borderId="0" xfId="0" applyFont="1" applyFill="1" applyAlignment="1">
      <alignment horizontal="center"/>
    </xf>
  </cellXfs>
  <cellStyles count="5">
    <cellStyle name="Millares" xfId="2" builtinId="3"/>
    <cellStyle name="Millares [0]" xfId="3" builtinId="6"/>
    <cellStyle name="Moneda [0]" xfId="4" builtinId="7"/>
    <cellStyle name="Normal" xfId="0" builtinId="0"/>
    <cellStyle name="Porcentaje" xfId="1" builtinId="5"/>
  </cellStyles>
  <dxfs count="103"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70" formatCode="dd\-mmm\-yy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Yu Gothic UI"/>
        <scheme val="none"/>
      </font>
      <alignment horizontal="left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Yu Gothic UI"/>
        <scheme val="none"/>
      </font>
      <fill>
        <patternFill patternType="solid">
          <fgColor indexed="64"/>
          <bgColor theme="7" tint="-0.49998474074526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7" tint="0.7999816888943144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70" formatCode="dd\-mmm\-yy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Yu Gothic UI"/>
        <scheme val="none"/>
      </font>
      <alignment horizontal="left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Yu Gothic UI"/>
        <scheme val="none"/>
      </font>
      <fill>
        <patternFill patternType="solid">
          <fgColor indexed="64"/>
          <bgColor theme="7" tint="-0.49998474074526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7" tint="0.7999816888943144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68" formatCode="_-* #,##0.0_-;\-* #,##0.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numFmt numFmtId="170" formatCode="dd\-mmm\-yy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fill>
        <patternFill>
          <fgColor indexed="64"/>
          <bgColor theme="9" tint="0.7999816888943144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Yu Gothic UI"/>
        <scheme val="none"/>
      </font>
      <alignment horizontal="left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Yu Gothic UI"/>
        <scheme val="none"/>
      </font>
      <alignment horizontal="left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Yu Gothic UI"/>
        <scheme val="none"/>
      </font>
      <fill>
        <patternFill patternType="solid">
          <fgColor indexed="64"/>
          <bgColor theme="3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7" tint="0.79998168889431442"/>
      </font>
    </dxf>
  </dxfs>
  <tableStyles count="0" defaultTableStyle="TableStyleMedium2" defaultPivotStyle="PivotStyleLight16"/>
  <colors>
    <mruColors>
      <color rgb="FFFF9F9F"/>
      <color rgb="FFFF7777"/>
      <color rgb="FF277E40"/>
      <color rgb="FFFEAC68"/>
      <color rgb="FF7FFF75"/>
      <color rgb="FFC22114"/>
      <color rgb="FFFFFF8F"/>
      <color rgb="FFFFFFC1"/>
      <color rgb="FFF8DCDC"/>
      <color rgb="FFFFC7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977265</xdr:colOff>
      <xdr:row>1</xdr:row>
      <xdr:rowOff>38100</xdr:rowOff>
    </xdr:from>
    <xdr:to>
      <xdr:col>10</xdr:col>
      <xdr:colOff>2476848</xdr:colOff>
      <xdr:row>6</xdr:row>
      <xdr:rowOff>739417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1890" y="133350"/>
          <a:ext cx="2499708" cy="1981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160020</xdr:colOff>
      <xdr:row>7</xdr:row>
      <xdr:rowOff>9525</xdr:rowOff>
    </xdr:from>
    <xdr:to>
      <xdr:col>18</xdr:col>
      <xdr:colOff>573898</xdr:colOff>
      <xdr:row>23</xdr:row>
      <xdr:rowOff>15798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0720" y="1628775"/>
          <a:ext cx="3538078" cy="4001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</xdr:colOff>
      <xdr:row>7</xdr:row>
      <xdr:rowOff>0</xdr:rowOff>
    </xdr:from>
    <xdr:to>
      <xdr:col>19</xdr:col>
      <xdr:colOff>743593</xdr:colOff>
      <xdr:row>24</xdr:row>
      <xdr:rowOff>48187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1619250"/>
          <a:ext cx="4606933" cy="40277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18150</xdr:colOff>
      <xdr:row>52</xdr:row>
      <xdr:rowOff>24765</xdr:rowOff>
    </xdr:from>
    <xdr:to>
      <xdr:col>12</xdr:col>
      <xdr:colOff>4142080</xdr:colOff>
      <xdr:row>64</xdr:row>
      <xdr:rowOff>135553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3550" y="4653915"/>
          <a:ext cx="4941175" cy="23910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_ingresos" displayName="tbl_ingresos" ref="B8:N99" headerRowDxfId="101" dataDxfId="99" totalsRowDxfId="97" headerRowBorderDxfId="100" tableBorderDxfId="98">
  <autoFilter ref="B8:N99"/>
  <tableColumns count="13">
    <tableColumn id="1" name="ID" totalsRowLabel="Total" dataDxfId="96" totalsRowDxfId="95"/>
    <tableColumn id="2" name="Fecha" dataDxfId="94" totalsRowDxfId="93"/>
    <tableColumn id="3" name="Categoría" dataDxfId="92" totalsRowDxfId="91"/>
    <tableColumn id="4" name="Descripción" dataDxfId="90" totalsRowDxfId="89"/>
    <tableColumn id="5" name="Mét. De Pago" dataDxfId="88" totalsRowDxfId="87"/>
    <tableColumn id="6" name="Ingreso Total" dataDxfId="86" dataCellStyle="Millares"/>
    <tableColumn id="7" name="Impuesto" dataDxfId="85" dataCellStyle="Porcentaje"/>
    <tableColumn id="8" name="Valor Impuesto" dataDxfId="84" dataCellStyle="Millares">
      <calculatedColumnFormula>G9 - (G9 / (1 + H9))</calculatedColumnFormula>
    </tableColumn>
    <tableColumn id="9" name="Total Neto" dataDxfId="83" dataCellStyle="Millares">
      <calculatedColumnFormula>G9 / (1 + H9)</calculatedColumnFormula>
    </tableColumn>
    <tableColumn id="10" name="Notas" totalsRowFunction="count" totalsRowDxfId="82"/>
    <tableColumn id="12" name="M" dataDxfId="81" totalsRowDxfId="80">
      <calculatedColumnFormula>IF(C9="","",MONTH(C9))</calculatedColumnFormula>
    </tableColumn>
    <tableColumn id="13" name="Y" dataDxfId="79" totalsRowDxfId="78">
      <calculatedColumnFormula>IF(C9="","",YEAR(C9))</calculatedColumnFormula>
    </tableColumn>
    <tableColumn id="11" name="D" dataDxfId="77" totalsRowDxfId="76">
      <calculatedColumnFormula>IF(C9="","",DAY(C9))</calculatedColumnFormula>
    </tableColumn>
  </tableColumns>
  <tableStyleInfo name="TableStyleMedium14" showFirstColumn="0" showLastColumn="0" showRowStripes="0" showColumnStripes="0"/>
</table>
</file>

<file path=xl/tables/table2.xml><?xml version="1.0" encoding="utf-8"?>
<table xmlns="http://schemas.openxmlformats.org/spreadsheetml/2006/main" id="2" name="tbl_ingresos3" displayName="tbl_ingresos3" ref="B8:N133" headerRowDxfId="74" dataDxfId="72" totalsRowDxfId="70" headerRowBorderDxfId="73" tableBorderDxfId="71">
  <tableColumns count="13">
    <tableColumn id="1" name="ID" totalsRowLabel="Total" dataDxfId="69" totalsRowDxfId="68"/>
    <tableColumn id="2" name="Fecha" dataDxfId="67" totalsRowDxfId="66"/>
    <tableColumn id="3" name="Categoría" dataDxfId="65" totalsRowDxfId="64"/>
    <tableColumn id="4" name="Descripción" dataDxfId="63" totalsRowDxfId="62"/>
    <tableColumn id="5" name="Mét. De Pago" dataDxfId="61" totalsRowDxfId="60"/>
    <tableColumn id="6" name="Gasto Total" dataDxfId="59" totalsRowDxfId="58" dataCellStyle="Moneda [0]"/>
    <tableColumn id="7" name="Impuesto" dataDxfId="57" totalsRowDxfId="56" dataCellStyle="Porcentaje"/>
    <tableColumn id="8" name="Valor Impuesto" dataDxfId="55" totalsRowDxfId="54" dataCellStyle="Millares">
      <calculatedColumnFormula>G9 - (G9 / (1 + H9))</calculatedColumnFormula>
    </tableColumn>
    <tableColumn id="9" name="Total Neto" dataDxfId="53" totalsRowDxfId="52" dataCellStyle="Millares">
      <calculatedColumnFormula>G9 / (1 + H9)</calculatedColumnFormula>
    </tableColumn>
    <tableColumn id="10" name="Notas" totalsRowFunction="count" dataDxfId="51" totalsRowDxfId="50"/>
    <tableColumn id="12" name="M" dataDxfId="49" totalsRowDxfId="48">
      <calculatedColumnFormula>IF(C9="","",MONTH(C9))</calculatedColumnFormula>
    </tableColumn>
    <tableColumn id="13" name="Y" dataDxfId="47" totalsRowDxfId="46">
      <calculatedColumnFormula>IF(C9="","",YEAR(C9))</calculatedColumnFormula>
    </tableColumn>
    <tableColumn id="11" name="D" dataDxfId="45" totalsRowDxfId="44">
      <calculatedColumnFormula>IF(C9="","",DAY(C9))</calculatedColumnFormula>
    </tableColumn>
  </tableColumns>
  <tableStyleInfo name="TableStyleMedium10" showFirstColumn="0" showLastColumn="0" showRowStripes="0" showColumnStripes="0"/>
</table>
</file>

<file path=xl/tables/table3.xml><?xml version="1.0" encoding="utf-8"?>
<table xmlns="http://schemas.openxmlformats.org/spreadsheetml/2006/main" id="13" name="tbl_ingresos314" displayName="tbl_ingresos314" ref="B8:N189" headerRowDxfId="42" dataDxfId="40" totalsRowDxfId="38" headerRowBorderDxfId="41" tableBorderDxfId="39">
  <tableColumns count="13">
    <tableColumn id="1" name="ID" totalsRowLabel="Total" dataDxfId="37" totalsRowDxfId="36"/>
    <tableColumn id="2" name="Fecha" dataDxfId="35" totalsRowDxfId="34"/>
    <tableColumn id="3" name="Categoría" dataDxfId="33" totalsRowDxfId="32"/>
    <tableColumn id="4" name="Descripción" dataDxfId="31" totalsRowDxfId="30"/>
    <tableColumn id="5" name="Mét. De Pago" dataDxfId="29" totalsRowDxfId="28"/>
    <tableColumn id="6" name="Costo Total" dataDxfId="27" totalsRowDxfId="26" dataCellStyle="Moneda [0]"/>
    <tableColumn id="7" name="Impuesto" dataDxfId="25" totalsRowDxfId="24" dataCellStyle="Porcentaje"/>
    <tableColumn id="8" name="Valor Impuesto" dataDxfId="23" totalsRowDxfId="22" dataCellStyle="Millares">
      <calculatedColumnFormula>G9 - (G9 / (1 + H9))</calculatedColumnFormula>
    </tableColumn>
    <tableColumn id="9" name="Total Neto" dataDxfId="21" totalsRowDxfId="20" dataCellStyle="Millares">
      <calculatedColumnFormula>G9 / (1 + H9)</calculatedColumnFormula>
    </tableColumn>
    <tableColumn id="10" name="Notas" totalsRowFunction="count" dataDxfId="19" totalsRowDxfId="18"/>
    <tableColumn id="12" name="M" dataDxfId="17" totalsRowDxfId="16">
      <calculatedColumnFormula>IF(C9="","",MONTH(C9))</calculatedColumnFormula>
    </tableColumn>
    <tableColumn id="13" name="Y" dataDxfId="15" totalsRowDxfId="14">
      <calculatedColumnFormula>IF(C9="","",YEAR(C9))</calculatedColumnFormula>
    </tableColumn>
    <tableColumn id="11" name="D" dataDxfId="13" totalsRowDxfId="12">
      <calculatedColumnFormula>IF(C9="","",DAY(C9))</calculatedColumnFormula>
    </tableColumn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B1:N126"/>
  <sheetViews>
    <sheetView showGridLines="0" tabSelected="1" zoomScaleNormal="100" workbookViewId="0">
      <pane ySplit="8" topLeftCell="A9" activePane="bottomLeft" state="frozen"/>
      <selection pane="bottomLeft" activeCell="K13" sqref="F13:K20"/>
    </sheetView>
  </sheetViews>
  <sheetFormatPr baseColWidth="10" defaultColWidth="11.42578125" defaultRowHeight="17.25"/>
  <cols>
    <col min="1" max="1" width="3.5703125" style="11" customWidth="1"/>
    <col min="2" max="2" width="12.85546875" style="23" bestFit="1" customWidth="1"/>
    <col min="3" max="3" width="15.7109375" style="11" customWidth="1"/>
    <col min="4" max="4" width="34.5703125" style="11" bestFit="1" customWidth="1"/>
    <col min="5" max="5" width="21.7109375" style="11" customWidth="1"/>
    <col min="6" max="6" width="17.5703125" style="11" customWidth="1"/>
    <col min="7" max="7" width="16.140625" style="11" customWidth="1"/>
    <col min="8" max="8" width="0.140625" style="11" customWidth="1"/>
    <col min="9" max="9" width="14.28515625" style="11" customWidth="1"/>
    <col min="10" max="10" width="14.5703125" style="11" bestFit="1" customWidth="1"/>
    <col min="11" max="11" width="70.28515625" style="11" customWidth="1"/>
    <col min="12" max="12" width="3.85546875" style="11" hidden="1" customWidth="1"/>
    <col min="13" max="13" width="6.42578125" style="11" hidden="1" customWidth="1"/>
    <col min="14" max="14" width="0.5703125" style="11" customWidth="1"/>
    <col min="15" max="16384" width="11.42578125" style="11"/>
  </cols>
  <sheetData>
    <row r="1" spans="2:14" s="8" customFormat="1" ht="7.5" customHeight="1">
      <c r="B1" s="49"/>
    </row>
    <row r="2" spans="2:14" s="8" customFormat="1" ht="22.5" customHeight="1">
      <c r="B2" s="238" t="s">
        <v>28</v>
      </c>
      <c r="C2" s="238"/>
      <c r="D2" s="238"/>
      <c r="E2" s="238"/>
      <c r="F2" s="238"/>
      <c r="G2" s="238"/>
      <c r="H2" s="238"/>
      <c r="I2" s="238"/>
      <c r="J2" s="238"/>
      <c r="K2" s="238"/>
    </row>
    <row r="3" spans="2:14" s="8" customFormat="1" ht="22.5" customHeight="1">
      <c r="B3" s="238"/>
      <c r="C3" s="238"/>
      <c r="D3" s="238"/>
      <c r="E3" s="238"/>
      <c r="F3" s="238"/>
      <c r="G3" s="238"/>
      <c r="H3" s="238"/>
      <c r="I3" s="238"/>
      <c r="J3" s="238"/>
      <c r="K3" s="238"/>
    </row>
    <row r="4" spans="2:14" ht="16.5" customHeight="1"/>
    <row r="5" spans="2:14" s="9" customFormat="1" ht="19.5" customHeight="1">
      <c r="B5" s="50"/>
      <c r="D5" s="242" t="e">
        <f>#REF! &amp; " " &amp; TEXT(SUM(tbl_ingresos[Ingreso Total]),"#,##0.00")</f>
        <v>#REF!</v>
      </c>
      <c r="E5" s="243"/>
      <c r="F5" s="243" t="e">
        <f>#REF! &amp; " " &amp; TEXT(SUM(tbl_ingresos[Valor Impuesto]),"#,##0.00")</f>
        <v>#REF!</v>
      </c>
      <c r="G5" s="243"/>
      <c r="H5" s="243" t="e">
        <f>#REF! &amp; " " &amp; TEXT(SUM(tbl_ingresos[Total Neto]),"#,##0.00")</f>
        <v>#REF!</v>
      </c>
      <c r="I5" s="244"/>
    </row>
    <row r="6" spans="2:14" s="9" customFormat="1" ht="19.5" customHeight="1">
      <c r="B6" s="50"/>
      <c r="D6" s="239" t="s">
        <v>29</v>
      </c>
      <c r="E6" s="240"/>
      <c r="F6" s="240" t="s">
        <v>30</v>
      </c>
      <c r="G6" s="240"/>
      <c r="H6" s="240" t="s">
        <v>31</v>
      </c>
      <c r="I6" s="241"/>
    </row>
    <row r="7" spans="2:14" ht="67.150000000000006" customHeight="1"/>
    <row r="8" spans="2:14" s="9" customFormat="1" ht="22.5" customHeight="1">
      <c r="B8" s="22" t="s">
        <v>32</v>
      </c>
      <c r="C8" s="22" t="s">
        <v>33</v>
      </c>
      <c r="D8" s="22" t="s">
        <v>34</v>
      </c>
      <c r="E8" s="22" t="s">
        <v>35</v>
      </c>
      <c r="F8" s="22" t="s">
        <v>36</v>
      </c>
      <c r="G8" s="22" t="s">
        <v>37</v>
      </c>
      <c r="H8" s="22" t="s">
        <v>38</v>
      </c>
      <c r="I8" s="15" t="s">
        <v>39</v>
      </c>
      <c r="J8" s="15" t="s">
        <v>40</v>
      </c>
      <c r="K8" s="22" t="s">
        <v>41</v>
      </c>
      <c r="L8" s="10" t="s">
        <v>7</v>
      </c>
      <c r="M8" s="10" t="s">
        <v>8</v>
      </c>
      <c r="N8" s="10" t="s">
        <v>42</v>
      </c>
    </row>
    <row r="9" spans="2:14">
      <c r="B9" s="23">
        <v>301</v>
      </c>
      <c r="C9" s="12">
        <v>46105</v>
      </c>
      <c r="D9" s="11" t="s">
        <v>3</v>
      </c>
      <c r="E9" s="11" t="s">
        <v>43</v>
      </c>
      <c r="F9" s="11" t="s">
        <v>44</v>
      </c>
      <c r="G9" s="59">
        <v>1288412</v>
      </c>
      <c r="H9" s="17">
        <v>0.19</v>
      </c>
      <c r="I9" s="85">
        <f>G9 - (G9 / (1 + H9))</f>
        <v>205712.84033613442</v>
      </c>
      <c r="J9" s="85">
        <f>G9 / (1 + H9)</f>
        <v>1082699.1596638656</v>
      </c>
      <c r="K9" t="s">
        <v>45</v>
      </c>
      <c r="L9" s="11">
        <f>IF(C9="","",MONTH(C9))</f>
        <v>3</v>
      </c>
      <c r="M9" s="11">
        <f>IF(C9="","",YEAR(C9))</f>
        <v>2026</v>
      </c>
      <c r="N9" s="11">
        <f>IF(C9="","",DAY(C9))</f>
        <v>24</v>
      </c>
    </row>
    <row r="10" spans="2:14">
      <c r="B10" s="189"/>
      <c r="C10" s="189">
        <v>46084</v>
      </c>
      <c r="D10" s="24" t="s">
        <v>4</v>
      </c>
      <c r="E10" s="11" t="s">
        <v>46</v>
      </c>
      <c r="F10" s="24" t="s">
        <v>17</v>
      </c>
      <c r="G10" s="190">
        <v>874949</v>
      </c>
      <c r="H10" s="53"/>
      <c r="I10" s="191"/>
      <c r="J10" s="191"/>
      <c r="K10" s="87" t="s">
        <v>47</v>
      </c>
      <c r="L10" s="86">
        <v>94933</v>
      </c>
    </row>
    <row r="11" spans="2:14">
      <c r="C11" s="51">
        <v>46084</v>
      </c>
      <c r="D11" s="24" t="s">
        <v>4</v>
      </c>
      <c r="E11" s="11" t="s">
        <v>48</v>
      </c>
      <c r="F11" s="24" t="s">
        <v>17</v>
      </c>
      <c r="G11" s="190">
        <v>518767</v>
      </c>
      <c r="H11" s="53">
        <v>0.19</v>
      </c>
      <c r="I11" s="191">
        <f>G11 - (G11 / (1 + H11))</f>
        <v>82828.344537815079</v>
      </c>
      <c r="J11" s="191">
        <f>G11 / (1 + H11)</f>
        <v>435938.65546218492</v>
      </c>
      <c r="K11" s="11" t="s">
        <v>49</v>
      </c>
      <c r="L11" s="11">
        <f>IF(C11="","",MONTH(C11))</f>
        <v>3</v>
      </c>
      <c r="M11" s="11">
        <f>IF(C11="","",YEAR(C11))</f>
        <v>2026</v>
      </c>
      <c r="N11" s="11">
        <f>IF(C11="","",DAY(C11))</f>
        <v>3</v>
      </c>
    </row>
    <row r="12" spans="2:14">
      <c r="C12" s="51">
        <v>46090</v>
      </c>
      <c r="D12" s="24" t="s">
        <v>4</v>
      </c>
      <c r="E12" s="11" t="s">
        <v>50</v>
      </c>
      <c r="F12" s="24" t="s">
        <v>17</v>
      </c>
      <c r="G12" s="190">
        <v>1349393</v>
      </c>
      <c r="H12" s="53">
        <v>0.19</v>
      </c>
      <c r="I12" s="191">
        <f t="shared" ref="I12:I36" si="0">G12 - (G12 / (1 + H12))</f>
        <v>215449.3025210083</v>
      </c>
      <c r="J12" s="191">
        <f t="shared" ref="J12:J36" si="1">G12 / (1 + H12)</f>
        <v>1133943.6974789917</v>
      </c>
      <c r="K12" s="11" t="s">
        <v>51</v>
      </c>
      <c r="L12" s="11">
        <f t="shared" ref="L12:L36" si="2">IF(C12="","",MONTH(C12))</f>
        <v>3</v>
      </c>
      <c r="M12" s="11">
        <f t="shared" ref="M12:M36" si="3">IF(C12="","",YEAR(C12))</f>
        <v>2026</v>
      </c>
      <c r="N12" s="11">
        <f t="shared" ref="N12:N36" si="4">IF(C12="","",DAY(C12))</f>
        <v>9</v>
      </c>
    </row>
    <row r="13" spans="2:14">
      <c r="C13" s="51">
        <v>46091</v>
      </c>
      <c r="D13" s="24" t="s">
        <v>4</v>
      </c>
      <c r="E13" s="11" t="s">
        <v>52</v>
      </c>
      <c r="F13" s="24" t="s">
        <v>17</v>
      </c>
      <c r="G13" s="190">
        <v>1005305</v>
      </c>
      <c r="H13" s="53">
        <v>0.19</v>
      </c>
      <c r="I13" s="54">
        <f t="shared" si="0"/>
        <v>160510.88235294109</v>
      </c>
      <c r="J13" s="191">
        <f t="shared" si="1"/>
        <v>844794.11764705891</v>
      </c>
      <c r="K13" t="s">
        <v>53</v>
      </c>
      <c r="L13" s="11">
        <f t="shared" si="2"/>
        <v>3</v>
      </c>
      <c r="M13" s="11">
        <f t="shared" si="3"/>
        <v>2026</v>
      </c>
      <c r="N13" s="11">
        <f t="shared" si="4"/>
        <v>10</v>
      </c>
    </row>
    <row r="14" spans="2:14">
      <c r="C14" s="51">
        <v>46097</v>
      </c>
      <c r="D14" s="24" t="s">
        <v>4</v>
      </c>
      <c r="E14" s="11" t="s">
        <v>54</v>
      </c>
      <c r="F14" s="24" t="s">
        <v>17</v>
      </c>
      <c r="G14" s="190">
        <v>852599</v>
      </c>
      <c r="H14" s="53">
        <v>0.19</v>
      </c>
      <c r="I14" s="54">
        <f t="shared" si="0"/>
        <v>136129.25210084033</v>
      </c>
      <c r="J14" s="54">
        <f t="shared" si="1"/>
        <v>716469.74789915967</v>
      </c>
      <c r="K14" s="11" t="s">
        <v>55</v>
      </c>
      <c r="L14" s="11">
        <f t="shared" si="2"/>
        <v>3</v>
      </c>
      <c r="M14" s="11">
        <f t="shared" si="3"/>
        <v>2026</v>
      </c>
      <c r="N14" s="11">
        <f t="shared" si="4"/>
        <v>16</v>
      </c>
    </row>
    <row r="15" spans="2:14">
      <c r="C15" s="51">
        <v>46100</v>
      </c>
      <c r="D15" s="24" t="s">
        <v>4</v>
      </c>
      <c r="E15" s="11" t="s">
        <v>56</v>
      </c>
      <c r="F15" s="24" t="s">
        <v>17</v>
      </c>
      <c r="G15" s="190">
        <v>269948</v>
      </c>
      <c r="H15" s="53">
        <v>0.19</v>
      </c>
      <c r="I15" s="54">
        <f t="shared" si="0"/>
        <v>43100.941176470573</v>
      </c>
      <c r="J15" s="54">
        <f t="shared" si="1"/>
        <v>226847.05882352943</v>
      </c>
      <c r="K15" s="11" t="s">
        <v>57</v>
      </c>
      <c r="L15" s="11">
        <f t="shared" si="2"/>
        <v>3</v>
      </c>
      <c r="M15" s="11">
        <f t="shared" si="3"/>
        <v>2026</v>
      </c>
      <c r="N15" s="11">
        <f t="shared" si="4"/>
        <v>19</v>
      </c>
    </row>
    <row r="16" spans="2:14">
      <c r="C16" s="51">
        <v>46104</v>
      </c>
      <c r="D16" s="24" t="s">
        <v>4</v>
      </c>
      <c r="E16" s="11" t="s">
        <v>58</v>
      </c>
      <c r="F16" s="24" t="s">
        <v>17</v>
      </c>
      <c r="G16" s="190">
        <v>397891</v>
      </c>
      <c r="H16" s="53">
        <v>0.19</v>
      </c>
      <c r="I16" s="54">
        <f t="shared" si="0"/>
        <v>63528.81512605038</v>
      </c>
      <c r="J16" s="54">
        <f t="shared" si="1"/>
        <v>334362.18487394962</v>
      </c>
      <c r="K16" s="11" t="s">
        <v>59</v>
      </c>
      <c r="L16" s="11">
        <f t="shared" si="2"/>
        <v>3</v>
      </c>
      <c r="M16" s="11">
        <f t="shared" si="3"/>
        <v>2026</v>
      </c>
      <c r="N16" s="11">
        <f t="shared" si="4"/>
        <v>23</v>
      </c>
    </row>
    <row r="17" spans="2:14">
      <c r="C17" s="51">
        <v>46104</v>
      </c>
      <c r="D17" s="24" t="s">
        <v>4</v>
      </c>
      <c r="E17" s="11" t="s">
        <v>60</v>
      </c>
      <c r="F17" s="24" t="s">
        <v>17</v>
      </c>
      <c r="G17" s="190">
        <v>277250</v>
      </c>
      <c r="H17" s="53">
        <v>0.19</v>
      </c>
      <c r="I17" s="54">
        <f t="shared" si="0"/>
        <v>44266.806722689071</v>
      </c>
      <c r="J17" s="54">
        <f t="shared" si="1"/>
        <v>232983.19327731093</v>
      </c>
      <c r="K17" s="11" t="s">
        <v>60</v>
      </c>
      <c r="L17" s="11">
        <f t="shared" si="2"/>
        <v>3</v>
      </c>
      <c r="M17" s="11">
        <f t="shared" si="3"/>
        <v>2026</v>
      </c>
      <c r="N17" s="11">
        <f t="shared" si="4"/>
        <v>23</v>
      </c>
    </row>
    <row r="18" spans="2:14">
      <c r="C18" s="51">
        <v>46087</v>
      </c>
      <c r="D18" s="24" t="s">
        <v>3</v>
      </c>
      <c r="E18" s="11" t="s">
        <v>61</v>
      </c>
      <c r="F18" s="24" t="s">
        <v>18</v>
      </c>
      <c r="G18" s="190">
        <v>128225</v>
      </c>
      <c r="H18" s="53">
        <v>0.19</v>
      </c>
      <c r="I18" s="54">
        <f t="shared" si="0"/>
        <v>20472.899159663866</v>
      </c>
      <c r="J18" s="54">
        <f t="shared" si="1"/>
        <v>107752.10084033613</v>
      </c>
      <c r="K18" s="88" t="s">
        <v>62</v>
      </c>
      <c r="L18" s="11">
        <f t="shared" si="2"/>
        <v>3</v>
      </c>
      <c r="M18" s="11">
        <f t="shared" si="3"/>
        <v>2026</v>
      </c>
      <c r="N18" s="11">
        <f t="shared" si="4"/>
        <v>6</v>
      </c>
    </row>
    <row r="19" spans="2:14">
      <c r="C19" s="51">
        <v>46090</v>
      </c>
      <c r="D19" s="24" t="s">
        <v>3</v>
      </c>
      <c r="E19" s="11" t="s">
        <v>63</v>
      </c>
      <c r="F19" s="24" t="s">
        <v>18</v>
      </c>
      <c r="G19" s="52">
        <v>371542</v>
      </c>
      <c r="H19" s="53">
        <v>0.19</v>
      </c>
      <c r="I19" s="54">
        <f t="shared" si="0"/>
        <v>59321.831932773115</v>
      </c>
      <c r="J19" s="54">
        <f t="shared" si="1"/>
        <v>312220.16806722688</v>
      </c>
      <c r="K19" s="88" t="s">
        <v>64</v>
      </c>
      <c r="L19" s="11">
        <f t="shared" si="2"/>
        <v>3</v>
      </c>
      <c r="M19" s="11">
        <f t="shared" si="3"/>
        <v>2026</v>
      </c>
      <c r="N19" s="11">
        <f t="shared" si="4"/>
        <v>9</v>
      </c>
    </row>
    <row r="20" spans="2:14" ht="30.75">
      <c r="C20" s="51">
        <v>46092</v>
      </c>
      <c r="D20" s="24" t="s">
        <v>3</v>
      </c>
      <c r="E20" s="11">
        <v>598</v>
      </c>
      <c r="F20" s="24" t="s">
        <v>18</v>
      </c>
      <c r="G20" s="52">
        <v>128484</v>
      </c>
      <c r="H20" s="53">
        <v>0.19</v>
      </c>
      <c r="I20" s="54">
        <f t="shared" si="0"/>
        <v>20514.252100840327</v>
      </c>
      <c r="J20" s="54">
        <f t="shared" si="1"/>
        <v>107969.74789915967</v>
      </c>
      <c r="K20" s="89" t="s">
        <v>65</v>
      </c>
      <c r="L20" s="11">
        <f t="shared" si="2"/>
        <v>3</v>
      </c>
      <c r="M20" s="11">
        <f t="shared" si="3"/>
        <v>2026</v>
      </c>
      <c r="N20" s="11">
        <f t="shared" si="4"/>
        <v>11</v>
      </c>
    </row>
    <row r="21" spans="2:14">
      <c r="C21" s="51">
        <v>46094</v>
      </c>
      <c r="D21" s="24" t="s">
        <v>3</v>
      </c>
      <c r="F21" s="24" t="s">
        <v>18</v>
      </c>
      <c r="G21" s="52">
        <v>96271</v>
      </c>
      <c r="H21" s="53">
        <v>0.19</v>
      </c>
      <c r="I21" s="54">
        <f t="shared" si="0"/>
        <v>15371</v>
      </c>
      <c r="J21" s="54">
        <f t="shared" si="1"/>
        <v>80900</v>
      </c>
      <c r="K21" s="11" t="s">
        <v>66</v>
      </c>
      <c r="L21" s="11">
        <f t="shared" si="2"/>
        <v>3</v>
      </c>
      <c r="M21" s="11">
        <f t="shared" si="3"/>
        <v>2026</v>
      </c>
      <c r="N21" s="11">
        <f t="shared" si="4"/>
        <v>13</v>
      </c>
    </row>
    <row r="22" spans="2:14">
      <c r="C22" s="51">
        <v>46100</v>
      </c>
      <c r="D22" s="24" t="s">
        <v>3</v>
      </c>
      <c r="E22" s="24"/>
      <c r="F22" s="24" t="s">
        <v>18</v>
      </c>
      <c r="G22" s="52">
        <v>333855</v>
      </c>
      <c r="H22" s="53">
        <v>0.19</v>
      </c>
      <c r="I22" s="54">
        <f t="shared" si="0"/>
        <v>53304.579831932788</v>
      </c>
      <c r="J22" s="54">
        <f t="shared" si="1"/>
        <v>280550.42016806721</v>
      </c>
      <c r="K22" s="11" t="s">
        <v>66</v>
      </c>
      <c r="L22" s="11">
        <f t="shared" si="2"/>
        <v>3</v>
      </c>
      <c r="M22" s="11">
        <f t="shared" si="3"/>
        <v>2026</v>
      </c>
      <c r="N22" s="11">
        <f t="shared" si="4"/>
        <v>19</v>
      </c>
    </row>
    <row r="23" spans="2:14">
      <c r="C23" s="51">
        <v>46101</v>
      </c>
      <c r="D23" s="24" t="s">
        <v>3</v>
      </c>
      <c r="E23" s="24">
        <v>626</v>
      </c>
      <c r="F23" s="24" t="s">
        <v>18</v>
      </c>
      <c r="G23" s="52">
        <v>22872</v>
      </c>
      <c r="H23" s="53">
        <v>0.19</v>
      </c>
      <c r="I23" s="54">
        <f t="shared" si="0"/>
        <v>3651.8319327731078</v>
      </c>
      <c r="J23" s="54">
        <f t="shared" si="1"/>
        <v>19220.168067226892</v>
      </c>
      <c r="K23" s="11" t="s">
        <v>67</v>
      </c>
      <c r="L23" s="11">
        <f t="shared" si="2"/>
        <v>3</v>
      </c>
      <c r="M23" s="11">
        <f t="shared" si="3"/>
        <v>2026</v>
      </c>
      <c r="N23" s="11">
        <f t="shared" si="4"/>
        <v>20</v>
      </c>
    </row>
    <row r="24" spans="2:14">
      <c r="C24" s="51">
        <v>46101</v>
      </c>
      <c r="D24" s="24" t="s">
        <v>3</v>
      </c>
      <c r="E24" s="24">
        <v>625</v>
      </c>
      <c r="F24" s="24" t="s">
        <v>18</v>
      </c>
      <c r="G24" s="52">
        <v>20635</v>
      </c>
      <c r="H24" s="53">
        <v>0.19</v>
      </c>
      <c r="I24" s="54">
        <f t="shared" si="0"/>
        <v>3294.6638655462193</v>
      </c>
      <c r="J24" s="54">
        <f t="shared" si="1"/>
        <v>17340.336134453781</v>
      </c>
      <c r="K24" s="11" t="s">
        <v>67</v>
      </c>
      <c r="L24" s="11">
        <f t="shared" si="2"/>
        <v>3</v>
      </c>
      <c r="M24" s="11">
        <f t="shared" si="3"/>
        <v>2026</v>
      </c>
      <c r="N24" s="11">
        <f t="shared" si="4"/>
        <v>20</v>
      </c>
    </row>
    <row r="25" spans="2:14">
      <c r="C25" s="51">
        <v>46101</v>
      </c>
      <c r="D25" s="24" t="s">
        <v>3</v>
      </c>
      <c r="E25" s="24">
        <v>624</v>
      </c>
      <c r="F25" s="24" t="s">
        <v>18</v>
      </c>
      <c r="G25" s="52">
        <v>88607</v>
      </c>
      <c r="H25" s="53">
        <v>0.19</v>
      </c>
      <c r="I25" s="54">
        <f t="shared" si="0"/>
        <v>14147.336134453784</v>
      </c>
      <c r="J25" s="54">
        <f t="shared" si="1"/>
        <v>74459.663865546216</v>
      </c>
      <c r="K25" s="11" t="s">
        <v>67</v>
      </c>
      <c r="L25" s="11">
        <f t="shared" si="2"/>
        <v>3</v>
      </c>
      <c r="M25" s="11">
        <f t="shared" si="3"/>
        <v>2026</v>
      </c>
      <c r="N25" s="11">
        <f t="shared" si="4"/>
        <v>20</v>
      </c>
    </row>
    <row r="26" spans="2:14">
      <c r="C26" s="51" t="s">
        <v>68</v>
      </c>
      <c r="D26" s="24" t="s">
        <v>3</v>
      </c>
      <c r="E26" s="24">
        <v>621</v>
      </c>
      <c r="F26" s="24" t="s">
        <v>18</v>
      </c>
      <c r="G26" s="52">
        <v>1288412</v>
      </c>
      <c r="H26" s="53">
        <v>0.19</v>
      </c>
      <c r="I26" s="54">
        <f t="shared" si="0"/>
        <v>205712.84033613442</v>
      </c>
      <c r="J26" s="54">
        <f t="shared" si="1"/>
        <v>1082699.1596638656</v>
      </c>
      <c r="K26" s="11" t="s">
        <v>69</v>
      </c>
      <c r="L26" s="11" t="e">
        <f t="shared" si="2"/>
        <v>#VALUE!</v>
      </c>
      <c r="M26" s="11" t="e">
        <f t="shared" si="3"/>
        <v>#VALUE!</v>
      </c>
      <c r="N26" s="11" t="e">
        <f t="shared" si="4"/>
        <v>#VALUE!</v>
      </c>
    </row>
    <row r="27" spans="2:14">
      <c r="C27" s="51"/>
      <c r="D27" s="24"/>
      <c r="E27" s="24"/>
      <c r="F27" s="24"/>
      <c r="G27" s="52"/>
      <c r="H27" s="53">
        <v>0.19</v>
      </c>
      <c r="I27" s="54">
        <f t="shared" si="0"/>
        <v>0</v>
      </c>
      <c r="J27" s="54">
        <f t="shared" si="1"/>
        <v>0</v>
      </c>
      <c r="K27" s="26"/>
      <c r="L27" s="11" t="str">
        <f t="shared" si="2"/>
        <v/>
      </c>
      <c r="M27" s="11" t="str">
        <f t="shared" si="3"/>
        <v/>
      </c>
      <c r="N27" s="11" t="str">
        <f t="shared" si="4"/>
        <v/>
      </c>
    </row>
    <row r="28" spans="2:14">
      <c r="C28" s="51"/>
      <c r="D28" s="24"/>
      <c r="E28" s="24"/>
      <c r="F28" s="24"/>
      <c r="G28" s="52"/>
      <c r="H28" s="53">
        <v>0.19</v>
      </c>
      <c r="I28" s="54">
        <f t="shared" si="0"/>
        <v>0</v>
      </c>
      <c r="J28" s="54">
        <f t="shared" si="1"/>
        <v>0</v>
      </c>
      <c r="L28" s="11" t="str">
        <f t="shared" si="2"/>
        <v/>
      </c>
      <c r="M28" s="11" t="str">
        <f t="shared" si="3"/>
        <v/>
      </c>
      <c r="N28" s="11" t="str">
        <f t="shared" si="4"/>
        <v/>
      </c>
    </row>
    <row r="29" spans="2:14">
      <c r="C29" s="51"/>
      <c r="D29" s="24"/>
      <c r="E29" s="24"/>
      <c r="F29" s="24"/>
      <c r="G29" s="52"/>
      <c r="H29" s="53">
        <v>0.19</v>
      </c>
      <c r="I29" s="54">
        <f t="shared" si="0"/>
        <v>0</v>
      </c>
      <c r="J29" s="54">
        <f t="shared" si="1"/>
        <v>0</v>
      </c>
      <c r="L29" s="11" t="str">
        <f t="shared" si="2"/>
        <v/>
      </c>
      <c r="M29" s="11" t="str">
        <f t="shared" si="3"/>
        <v/>
      </c>
      <c r="N29" s="11" t="str">
        <f t="shared" si="4"/>
        <v/>
      </c>
    </row>
    <row r="30" spans="2:14">
      <c r="C30" s="51"/>
      <c r="D30" s="24"/>
      <c r="E30" s="24"/>
      <c r="F30" s="24"/>
      <c r="G30" s="52"/>
      <c r="H30" s="53">
        <v>0.19</v>
      </c>
      <c r="I30" s="54">
        <f t="shared" si="0"/>
        <v>0</v>
      </c>
      <c r="J30" s="54">
        <f t="shared" si="1"/>
        <v>0</v>
      </c>
      <c r="L30" s="11" t="str">
        <f t="shared" si="2"/>
        <v/>
      </c>
      <c r="M30" s="11" t="str">
        <f t="shared" si="3"/>
        <v/>
      </c>
      <c r="N30" s="11" t="str">
        <f t="shared" si="4"/>
        <v/>
      </c>
    </row>
    <row r="31" spans="2:14" s="24" customFormat="1">
      <c r="B31" s="23"/>
      <c r="C31" s="51"/>
      <c r="G31" s="52"/>
      <c r="H31" s="53">
        <v>0.19</v>
      </c>
      <c r="I31" s="192">
        <f t="shared" si="0"/>
        <v>0</v>
      </c>
      <c r="J31" s="192">
        <f t="shared" si="1"/>
        <v>0</v>
      </c>
      <c r="L31" s="24" t="str">
        <f t="shared" si="2"/>
        <v/>
      </c>
      <c r="M31" s="24" t="str">
        <f t="shared" si="3"/>
        <v/>
      </c>
      <c r="N31" s="24" t="str">
        <f t="shared" si="4"/>
        <v/>
      </c>
    </row>
    <row r="32" spans="2:14">
      <c r="C32" s="51"/>
      <c r="D32" s="24"/>
      <c r="E32" s="24"/>
      <c r="F32" s="24"/>
      <c r="G32" s="52"/>
      <c r="H32" s="53">
        <v>0.19</v>
      </c>
      <c r="I32" s="54">
        <f t="shared" si="0"/>
        <v>0</v>
      </c>
      <c r="J32" s="54">
        <f t="shared" si="1"/>
        <v>0</v>
      </c>
      <c r="L32" s="11" t="str">
        <f t="shared" si="2"/>
        <v/>
      </c>
      <c r="M32" s="11" t="str">
        <f t="shared" si="3"/>
        <v/>
      </c>
      <c r="N32" s="11" t="str">
        <f t="shared" si="4"/>
        <v/>
      </c>
    </row>
    <row r="33" spans="3:14">
      <c r="C33" s="51"/>
      <c r="D33" s="24"/>
      <c r="E33" s="24"/>
      <c r="F33" s="24"/>
      <c r="G33" s="52"/>
      <c r="H33" s="53">
        <v>0.19</v>
      </c>
      <c r="I33" s="54">
        <f t="shared" si="0"/>
        <v>0</v>
      </c>
      <c r="J33" s="54">
        <f t="shared" si="1"/>
        <v>0</v>
      </c>
      <c r="L33" s="11" t="str">
        <f t="shared" si="2"/>
        <v/>
      </c>
      <c r="M33" s="11" t="str">
        <f t="shared" si="3"/>
        <v/>
      </c>
      <c r="N33" s="11" t="str">
        <f t="shared" si="4"/>
        <v/>
      </c>
    </row>
    <row r="34" spans="3:14">
      <c r="C34" s="51"/>
      <c r="D34" s="24"/>
      <c r="E34" s="24"/>
      <c r="F34" s="24"/>
      <c r="G34" s="52"/>
      <c r="H34" s="53">
        <v>0.19</v>
      </c>
      <c r="I34" s="54">
        <f t="shared" si="0"/>
        <v>0</v>
      </c>
      <c r="J34" s="54">
        <f t="shared" si="1"/>
        <v>0</v>
      </c>
      <c r="L34" s="11" t="str">
        <f t="shared" si="2"/>
        <v/>
      </c>
      <c r="M34" s="11" t="str">
        <f t="shared" si="3"/>
        <v/>
      </c>
      <c r="N34" s="11" t="str">
        <f t="shared" si="4"/>
        <v/>
      </c>
    </row>
    <row r="35" spans="3:14">
      <c r="C35" s="51"/>
      <c r="D35" s="24"/>
      <c r="E35" s="24"/>
      <c r="F35" s="24"/>
      <c r="G35" s="52"/>
      <c r="H35" s="53">
        <v>0.19</v>
      </c>
      <c r="I35" s="54">
        <f t="shared" si="0"/>
        <v>0</v>
      </c>
      <c r="J35" s="54">
        <f t="shared" si="1"/>
        <v>0</v>
      </c>
      <c r="L35" s="11" t="str">
        <f t="shared" si="2"/>
        <v/>
      </c>
      <c r="M35" s="11" t="str">
        <f t="shared" si="3"/>
        <v/>
      </c>
      <c r="N35" s="11" t="str">
        <f t="shared" si="4"/>
        <v/>
      </c>
    </row>
    <row r="36" spans="3:14">
      <c r="C36" s="51"/>
      <c r="D36" s="24"/>
      <c r="E36" s="24"/>
      <c r="F36" s="24"/>
      <c r="G36" s="52"/>
      <c r="H36" s="53">
        <v>0.19</v>
      </c>
      <c r="I36" s="54">
        <f t="shared" si="0"/>
        <v>0</v>
      </c>
      <c r="J36" s="54">
        <f t="shared" si="1"/>
        <v>0</v>
      </c>
      <c r="L36" s="11" t="str">
        <f t="shared" si="2"/>
        <v/>
      </c>
      <c r="M36" s="11" t="str">
        <f t="shared" si="3"/>
        <v/>
      </c>
      <c r="N36" s="11" t="str">
        <f t="shared" si="4"/>
        <v/>
      </c>
    </row>
    <row r="37" spans="3:14">
      <c r="C37" s="51"/>
      <c r="D37" s="24"/>
      <c r="E37" s="24"/>
      <c r="F37" s="24"/>
      <c r="G37" s="52"/>
      <c r="H37" s="53">
        <v>0.19</v>
      </c>
      <c r="I37" s="54">
        <f>G37 - (G37 / (1 + H37))</f>
        <v>0</v>
      </c>
      <c r="J37" s="54">
        <f>G37 / (1 + H37)</f>
        <v>0</v>
      </c>
      <c r="L37" s="11" t="str">
        <f>IF(C37="","",MONTH(C37))</f>
        <v/>
      </c>
      <c r="M37" s="11" t="str">
        <f>IF(C37="","",YEAR(C37))</f>
        <v/>
      </c>
      <c r="N37" s="11" t="str">
        <f>IF(C37="","",DAY(C37))</f>
        <v/>
      </c>
    </row>
    <row r="38" spans="3:14">
      <c r="C38" s="51"/>
      <c r="D38" s="24"/>
      <c r="E38" s="24"/>
      <c r="F38" s="24"/>
      <c r="G38" s="52"/>
      <c r="H38" s="53">
        <v>0.19</v>
      </c>
      <c r="I38" s="54">
        <f t="shared" ref="I38:I59" si="5">G38 - (G38 / (1 + H38))</f>
        <v>0</v>
      </c>
      <c r="J38" s="54">
        <f t="shared" ref="J38:J59" si="6">G38 / (1 + H38)</f>
        <v>0</v>
      </c>
      <c r="L38" s="11" t="str">
        <f t="shared" ref="L38:L70" si="7">IF(C38="","",MONTH(C38))</f>
        <v/>
      </c>
      <c r="M38" s="11" t="str">
        <f t="shared" ref="M38:M70" si="8">IF(C38="","",YEAR(C38))</f>
        <v/>
      </c>
      <c r="N38" s="11" t="str">
        <f t="shared" ref="N38:N70" si="9">IF(C38="","",DAY(C38))</f>
        <v/>
      </c>
    </row>
    <row r="39" spans="3:14">
      <c r="C39" s="51"/>
      <c r="D39" s="24"/>
      <c r="E39" s="24"/>
      <c r="F39" s="24"/>
      <c r="G39" s="52"/>
      <c r="H39" s="53">
        <v>0.19</v>
      </c>
      <c r="I39" s="54">
        <f t="shared" si="5"/>
        <v>0</v>
      </c>
      <c r="J39" s="54">
        <f t="shared" si="6"/>
        <v>0</v>
      </c>
      <c r="L39" s="11" t="str">
        <f t="shared" si="7"/>
        <v/>
      </c>
      <c r="M39" s="11" t="str">
        <f t="shared" si="8"/>
        <v/>
      </c>
      <c r="N39" s="11" t="str">
        <f t="shared" si="9"/>
        <v/>
      </c>
    </row>
    <row r="40" spans="3:14">
      <c r="C40" s="51"/>
      <c r="D40" s="24"/>
      <c r="E40" s="24"/>
      <c r="F40" s="24"/>
      <c r="G40" s="52"/>
      <c r="H40" s="53">
        <v>0.19</v>
      </c>
      <c r="I40" s="54">
        <f t="shared" si="5"/>
        <v>0</v>
      </c>
      <c r="J40" s="54">
        <f t="shared" si="6"/>
        <v>0</v>
      </c>
      <c r="L40" s="11" t="str">
        <f t="shared" si="7"/>
        <v/>
      </c>
      <c r="M40" s="11" t="str">
        <f t="shared" si="8"/>
        <v/>
      </c>
      <c r="N40" s="11" t="str">
        <f t="shared" si="9"/>
        <v/>
      </c>
    </row>
    <row r="41" spans="3:14">
      <c r="C41" s="51"/>
      <c r="D41" s="24"/>
      <c r="E41" s="24"/>
      <c r="F41" s="24"/>
      <c r="G41" s="52"/>
      <c r="H41" s="53">
        <v>0.19</v>
      </c>
      <c r="I41" s="54">
        <f t="shared" si="5"/>
        <v>0</v>
      </c>
      <c r="J41" s="54">
        <f t="shared" si="6"/>
        <v>0</v>
      </c>
      <c r="L41" s="11" t="str">
        <f t="shared" si="7"/>
        <v/>
      </c>
      <c r="M41" s="11" t="str">
        <f t="shared" si="8"/>
        <v/>
      </c>
      <c r="N41" s="11" t="str">
        <f t="shared" si="9"/>
        <v/>
      </c>
    </row>
    <row r="42" spans="3:14">
      <c r="C42" s="51"/>
      <c r="D42" s="24"/>
      <c r="E42" s="24"/>
      <c r="F42" s="24"/>
      <c r="G42" s="52"/>
      <c r="H42" s="53">
        <v>0.19</v>
      </c>
      <c r="I42" s="54">
        <f t="shared" si="5"/>
        <v>0</v>
      </c>
      <c r="J42" s="54">
        <f t="shared" si="6"/>
        <v>0</v>
      </c>
      <c r="L42" s="11" t="str">
        <f t="shared" si="7"/>
        <v/>
      </c>
      <c r="M42" s="11" t="str">
        <f t="shared" si="8"/>
        <v/>
      </c>
      <c r="N42" s="11" t="str">
        <f t="shared" si="9"/>
        <v/>
      </c>
    </row>
    <row r="43" spans="3:14">
      <c r="C43" s="51"/>
      <c r="D43" s="24"/>
      <c r="E43" s="24"/>
      <c r="F43" s="24"/>
      <c r="G43" s="52"/>
      <c r="H43" s="53">
        <v>0.19</v>
      </c>
      <c r="I43" s="54">
        <f t="shared" si="5"/>
        <v>0</v>
      </c>
      <c r="J43" s="54">
        <f t="shared" si="6"/>
        <v>0</v>
      </c>
      <c r="L43" s="11" t="str">
        <f t="shared" si="7"/>
        <v/>
      </c>
      <c r="M43" s="11" t="str">
        <f t="shared" si="8"/>
        <v/>
      </c>
      <c r="N43" s="11" t="str">
        <f t="shared" si="9"/>
        <v/>
      </c>
    </row>
    <row r="44" spans="3:14">
      <c r="C44" s="51"/>
      <c r="D44" s="24"/>
      <c r="E44" s="24"/>
      <c r="F44" s="24"/>
      <c r="G44" s="52"/>
      <c r="H44" s="53">
        <v>0.19</v>
      </c>
      <c r="I44" s="54">
        <f t="shared" si="5"/>
        <v>0</v>
      </c>
      <c r="J44" s="54">
        <f t="shared" si="6"/>
        <v>0</v>
      </c>
      <c r="L44" s="11" t="str">
        <f t="shared" si="7"/>
        <v/>
      </c>
      <c r="M44" s="11" t="str">
        <f t="shared" si="8"/>
        <v/>
      </c>
      <c r="N44" s="11" t="str">
        <f t="shared" si="9"/>
        <v/>
      </c>
    </row>
    <row r="45" spans="3:14">
      <c r="C45" s="51"/>
      <c r="D45" s="24"/>
      <c r="E45" s="24"/>
      <c r="F45" s="24"/>
      <c r="G45" s="52"/>
      <c r="H45" s="53">
        <v>0.13750000000000001</v>
      </c>
      <c r="I45" s="54">
        <f t="shared" si="5"/>
        <v>0</v>
      </c>
      <c r="J45" s="54">
        <f t="shared" si="6"/>
        <v>0</v>
      </c>
      <c r="L45" s="11" t="str">
        <f t="shared" si="7"/>
        <v/>
      </c>
      <c r="M45" s="11" t="str">
        <f t="shared" si="8"/>
        <v/>
      </c>
      <c r="N45" s="11" t="str">
        <f t="shared" si="9"/>
        <v/>
      </c>
    </row>
    <row r="46" spans="3:14">
      <c r="C46" s="51"/>
      <c r="D46" s="24"/>
      <c r="E46" s="24"/>
      <c r="F46" s="24"/>
      <c r="G46" s="52"/>
      <c r="H46" s="53">
        <v>0.19</v>
      </c>
      <c r="I46" s="54">
        <f t="shared" si="5"/>
        <v>0</v>
      </c>
      <c r="J46" s="54">
        <f t="shared" si="6"/>
        <v>0</v>
      </c>
      <c r="L46" s="11" t="str">
        <f t="shared" si="7"/>
        <v/>
      </c>
      <c r="M46" s="11" t="str">
        <f t="shared" si="8"/>
        <v/>
      </c>
      <c r="N46" s="11" t="str">
        <f t="shared" si="9"/>
        <v/>
      </c>
    </row>
    <row r="47" spans="3:14">
      <c r="C47" s="51"/>
      <c r="D47" s="24"/>
      <c r="E47" s="24"/>
      <c r="F47" s="24"/>
      <c r="G47" s="52"/>
      <c r="H47" s="53">
        <v>0.19</v>
      </c>
      <c r="I47" s="54">
        <f t="shared" si="5"/>
        <v>0</v>
      </c>
      <c r="J47" s="54">
        <f t="shared" si="6"/>
        <v>0</v>
      </c>
      <c r="L47" s="11" t="str">
        <f t="shared" si="7"/>
        <v/>
      </c>
      <c r="M47" s="11" t="str">
        <f t="shared" si="8"/>
        <v/>
      </c>
      <c r="N47" s="11" t="str">
        <f t="shared" si="9"/>
        <v/>
      </c>
    </row>
    <row r="48" spans="3:14">
      <c r="C48" s="51"/>
      <c r="D48" s="24"/>
      <c r="E48" s="24"/>
      <c r="F48" s="24"/>
      <c r="G48" s="52"/>
      <c r="H48" s="53">
        <v>0.19</v>
      </c>
      <c r="I48" s="54">
        <f t="shared" si="5"/>
        <v>0</v>
      </c>
      <c r="J48" s="54">
        <f t="shared" si="6"/>
        <v>0</v>
      </c>
      <c r="L48" s="11" t="str">
        <f t="shared" si="7"/>
        <v/>
      </c>
      <c r="M48" s="11" t="str">
        <f t="shared" si="8"/>
        <v/>
      </c>
      <c r="N48" s="11" t="str">
        <f t="shared" si="9"/>
        <v/>
      </c>
    </row>
    <row r="49" spans="3:14">
      <c r="C49" s="51"/>
      <c r="D49" s="24"/>
      <c r="E49" s="24"/>
      <c r="F49" s="24"/>
      <c r="G49" s="52"/>
      <c r="H49" s="53">
        <v>0.19</v>
      </c>
      <c r="I49" s="54">
        <f t="shared" si="5"/>
        <v>0</v>
      </c>
      <c r="J49" s="54">
        <f t="shared" si="6"/>
        <v>0</v>
      </c>
      <c r="L49" s="11" t="str">
        <f t="shared" si="7"/>
        <v/>
      </c>
      <c r="M49" s="11" t="str">
        <f t="shared" si="8"/>
        <v/>
      </c>
      <c r="N49" s="11" t="str">
        <f t="shared" si="9"/>
        <v/>
      </c>
    </row>
    <row r="50" spans="3:14">
      <c r="C50" s="51"/>
      <c r="D50" s="24"/>
      <c r="E50" s="24"/>
      <c r="F50" s="24"/>
      <c r="G50" s="52"/>
      <c r="H50" s="53">
        <v>0.19</v>
      </c>
      <c r="I50" s="54">
        <f t="shared" si="5"/>
        <v>0</v>
      </c>
      <c r="J50" s="54">
        <f t="shared" si="6"/>
        <v>0</v>
      </c>
      <c r="L50" s="11" t="str">
        <f t="shared" si="7"/>
        <v/>
      </c>
      <c r="M50" s="11" t="str">
        <f t="shared" si="8"/>
        <v/>
      </c>
      <c r="N50" s="11" t="str">
        <f t="shared" si="9"/>
        <v/>
      </c>
    </row>
    <row r="51" spans="3:14">
      <c r="C51" s="51"/>
      <c r="D51" s="24"/>
      <c r="E51" s="24"/>
      <c r="F51" s="24"/>
      <c r="G51" s="52"/>
      <c r="H51" s="53">
        <v>0.19</v>
      </c>
      <c r="I51" s="54">
        <f t="shared" si="5"/>
        <v>0</v>
      </c>
      <c r="J51" s="54">
        <f t="shared" si="6"/>
        <v>0</v>
      </c>
      <c r="L51" s="11" t="str">
        <f t="shared" si="7"/>
        <v/>
      </c>
      <c r="M51" s="11" t="str">
        <f t="shared" si="8"/>
        <v/>
      </c>
      <c r="N51" s="11" t="str">
        <f t="shared" si="9"/>
        <v/>
      </c>
    </row>
    <row r="52" spans="3:14">
      <c r="C52" s="51"/>
      <c r="D52" s="24"/>
      <c r="E52" s="24"/>
      <c r="F52" s="24"/>
      <c r="G52" s="52"/>
      <c r="H52" s="53">
        <v>0.19</v>
      </c>
      <c r="I52" s="54">
        <f t="shared" si="5"/>
        <v>0</v>
      </c>
      <c r="J52" s="54">
        <f t="shared" si="6"/>
        <v>0</v>
      </c>
      <c r="L52" s="11" t="str">
        <f t="shared" si="7"/>
        <v/>
      </c>
      <c r="M52" s="11" t="str">
        <f t="shared" si="8"/>
        <v/>
      </c>
      <c r="N52" s="11" t="str">
        <f t="shared" si="9"/>
        <v/>
      </c>
    </row>
    <row r="53" spans="3:14">
      <c r="C53" s="51"/>
      <c r="D53" s="24"/>
      <c r="E53" s="24"/>
      <c r="F53" s="24"/>
      <c r="G53" s="52"/>
      <c r="H53" s="53">
        <v>0.19</v>
      </c>
      <c r="I53" s="54">
        <f t="shared" si="5"/>
        <v>0</v>
      </c>
      <c r="J53" s="54">
        <f t="shared" si="6"/>
        <v>0</v>
      </c>
      <c r="L53" s="11" t="str">
        <f t="shared" si="7"/>
        <v/>
      </c>
      <c r="M53" s="11" t="str">
        <f t="shared" si="8"/>
        <v/>
      </c>
      <c r="N53" s="11" t="str">
        <f t="shared" si="9"/>
        <v/>
      </c>
    </row>
    <row r="54" spans="3:14">
      <c r="C54" s="51"/>
      <c r="D54" s="24"/>
      <c r="E54" s="24"/>
      <c r="F54" s="24"/>
      <c r="G54" s="52"/>
      <c r="H54" s="53">
        <v>0.19</v>
      </c>
      <c r="I54" s="54">
        <f t="shared" si="5"/>
        <v>0</v>
      </c>
      <c r="J54" s="54">
        <f t="shared" si="6"/>
        <v>0</v>
      </c>
      <c r="L54" s="11" t="str">
        <f t="shared" si="7"/>
        <v/>
      </c>
      <c r="M54" s="11" t="str">
        <f t="shared" si="8"/>
        <v/>
      </c>
      <c r="N54" s="11" t="str">
        <f t="shared" si="9"/>
        <v/>
      </c>
    </row>
    <row r="55" spans="3:14">
      <c r="C55" s="51"/>
      <c r="D55" s="24"/>
      <c r="E55" s="24"/>
      <c r="F55" s="24"/>
      <c r="G55" s="52"/>
      <c r="H55" s="53">
        <v>0.19</v>
      </c>
      <c r="I55" s="54">
        <f t="shared" si="5"/>
        <v>0</v>
      </c>
      <c r="J55" s="54">
        <f t="shared" si="6"/>
        <v>0</v>
      </c>
      <c r="L55" s="11" t="str">
        <f t="shared" si="7"/>
        <v/>
      </c>
      <c r="M55" s="11" t="str">
        <f t="shared" si="8"/>
        <v/>
      </c>
      <c r="N55" s="11" t="str">
        <f t="shared" si="9"/>
        <v/>
      </c>
    </row>
    <row r="56" spans="3:14">
      <c r="C56" s="51"/>
      <c r="D56" s="24"/>
      <c r="E56" s="24"/>
      <c r="F56" s="24"/>
      <c r="G56" s="52"/>
      <c r="H56" s="53">
        <v>0.19</v>
      </c>
      <c r="I56" s="54">
        <f t="shared" si="5"/>
        <v>0</v>
      </c>
      <c r="J56" s="54">
        <f t="shared" si="6"/>
        <v>0</v>
      </c>
      <c r="L56" s="11" t="str">
        <f t="shared" si="7"/>
        <v/>
      </c>
      <c r="M56" s="11" t="str">
        <f t="shared" si="8"/>
        <v/>
      </c>
      <c r="N56" s="11" t="str">
        <f t="shared" si="9"/>
        <v/>
      </c>
    </row>
    <row r="57" spans="3:14">
      <c r="C57" s="51"/>
      <c r="D57" s="24"/>
      <c r="E57" s="24"/>
      <c r="F57" s="24"/>
      <c r="G57" s="52"/>
      <c r="H57" s="53">
        <v>0.19</v>
      </c>
      <c r="I57" s="54">
        <f t="shared" si="5"/>
        <v>0</v>
      </c>
      <c r="J57" s="54">
        <f t="shared" si="6"/>
        <v>0</v>
      </c>
      <c r="L57" s="11" t="str">
        <f t="shared" si="7"/>
        <v/>
      </c>
      <c r="M57" s="11" t="str">
        <f t="shared" si="8"/>
        <v/>
      </c>
      <c r="N57" s="11" t="str">
        <f t="shared" si="9"/>
        <v/>
      </c>
    </row>
    <row r="58" spans="3:14">
      <c r="C58" s="51"/>
      <c r="D58" s="24"/>
      <c r="E58" s="24"/>
      <c r="F58" s="24"/>
      <c r="G58" s="52"/>
      <c r="H58" s="53">
        <v>0.19</v>
      </c>
      <c r="I58" s="54">
        <f t="shared" si="5"/>
        <v>0</v>
      </c>
      <c r="J58" s="54">
        <f t="shared" si="6"/>
        <v>0</v>
      </c>
      <c r="L58" s="11" t="str">
        <f t="shared" si="7"/>
        <v/>
      </c>
      <c r="M58" s="11" t="str">
        <f t="shared" si="8"/>
        <v/>
      </c>
      <c r="N58" s="11" t="str">
        <f t="shared" si="9"/>
        <v/>
      </c>
    </row>
    <row r="59" spans="3:14">
      <c r="C59" s="51"/>
      <c r="D59" s="24"/>
      <c r="E59" s="24"/>
      <c r="F59" s="24"/>
      <c r="G59" s="52"/>
      <c r="H59" s="53">
        <v>0.19</v>
      </c>
      <c r="I59" s="54">
        <f t="shared" si="5"/>
        <v>0</v>
      </c>
      <c r="J59" s="54">
        <f t="shared" si="6"/>
        <v>0</v>
      </c>
      <c r="L59" s="11" t="str">
        <f t="shared" si="7"/>
        <v/>
      </c>
      <c r="M59" s="11" t="str">
        <f t="shared" si="8"/>
        <v/>
      </c>
      <c r="N59" s="11" t="str">
        <f t="shared" si="9"/>
        <v/>
      </c>
    </row>
    <row r="60" spans="3:14">
      <c r="C60" s="51"/>
      <c r="D60" s="24"/>
      <c r="E60" s="24"/>
      <c r="F60" s="24"/>
      <c r="G60" s="52"/>
      <c r="H60" s="53">
        <v>0.19</v>
      </c>
      <c r="I60" s="54">
        <f t="shared" ref="I60:I97" si="10">G60 - (G60 / (1 + H60))</f>
        <v>0</v>
      </c>
      <c r="J60" s="54">
        <f t="shared" ref="J60:J97" si="11">G60 / (1 + H60)</f>
        <v>0</v>
      </c>
      <c r="L60" s="11" t="str">
        <f t="shared" ref="L60:L64" si="12">IF(C60="","",MONTH(C60))</f>
        <v/>
      </c>
      <c r="M60" s="11" t="str">
        <f t="shared" ref="M60:M64" si="13">IF(C60="","",YEAR(C60))</f>
        <v/>
      </c>
      <c r="N60" s="11" t="str">
        <f t="shared" ref="N60:N64" si="14">IF(C60="","",DAY(C60))</f>
        <v/>
      </c>
    </row>
    <row r="61" spans="3:14">
      <c r="C61" s="51"/>
      <c r="D61" s="24"/>
      <c r="E61" s="24"/>
      <c r="F61" s="24"/>
      <c r="G61" s="52"/>
      <c r="H61" s="53">
        <v>0.19</v>
      </c>
      <c r="I61" s="54">
        <f t="shared" si="10"/>
        <v>0</v>
      </c>
      <c r="J61" s="54">
        <f t="shared" si="11"/>
        <v>0</v>
      </c>
      <c r="L61" s="11" t="str">
        <f t="shared" si="12"/>
        <v/>
      </c>
      <c r="M61" s="11" t="str">
        <f t="shared" si="13"/>
        <v/>
      </c>
      <c r="N61" s="11" t="str">
        <f t="shared" si="14"/>
        <v/>
      </c>
    </row>
    <row r="62" spans="3:14">
      <c r="C62" s="51"/>
      <c r="D62" s="24"/>
      <c r="E62" s="24"/>
      <c r="F62" s="24"/>
      <c r="G62" s="52"/>
      <c r="H62" s="53">
        <v>0.19</v>
      </c>
      <c r="I62" s="54">
        <f t="shared" si="10"/>
        <v>0</v>
      </c>
      <c r="J62" s="54">
        <f t="shared" si="11"/>
        <v>0</v>
      </c>
      <c r="L62" s="11" t="str">
        <f t="shared" si="12"/>
        <v/>
      </c>
      <c r="M62" s="11" t="str">
        <f t="shared" si="13"/>
        <v/>
      </c>
      <c r="N62" s="11" t="str">
        <f t="shared" si="14"/>
        <v/>
      </c>
    </row>
    <row r="63" spans="3:14">
      <c r="C63" s="51"/>
      <c r="D63" s="24"/>
      <c r="E63" s="24"/>
      <c r="F63" s="24"/>
      <c r="G63" s="52"/>
      <c r="H63" s="53">
        <v>0.19</v>
      </c>
      <c r="I63" s="54">
        <f t="shared" si="10"/>
        <v>0</v>
      </c>
      <c r="J63" s="54">
        <f t="shared" si="11"/>
        <v>0</v>
      </c>
      <c r="L63" s="11" t="str">
        <f t="shared" si="12"/>
        <v/>
      </c>
      <c r="M63" s="11" t="str">
        <f t="shared" si="13"/>
        <v/>
      </c>
      <c r="N63" s="11" t="str">
        <f t="shared" si="14"/>
        <v/>
      </c>
    </row>
    <row r="64" spans="3:14">
      <c r="C64" s="51"/>
      <c r="D64" s="24"/>
      <c r="E64" s="24"/>
      <c r="F64" s="24"/>
      <c r="G64" s="52"/>
      <c r="H64" s="53">
        <v>0.19</v>
      </c>
      <c r="I64" s="54">
        <f t="shared" si="10"/>
        <v>0</v>
      </c>
      <c r="J64" s="54">
        <f t="shared" si="11"/>
        <v>0</v>
      </c>
      <c r="L64" s="11" t="str">
        <f t="shared" si="12"/>
        <v/>
      </c>
      <c r="M64" s="11" t="str">
        <f t="shared" si="13"/>
        <v/>
      </c>
      <c r="N64" s="11" t="str">
        <f t="shared" si="14"/>
        <v/>
      </c>
    </row>
    <row r="65" spans="3:14">
      <c r="C65" s="51"/>
      <c r="D65" s="24"/>
      <c r="E65" s="24"/>
      <c r="F65" s="24"/>
      <c r="G65" s="52"/>
      <c r="H65" s="53">
        <v>0.19</v>
      </c>
      <c r="I65" s="54">
        <f t="shared" si="10"/>
        <v>0</v>
      </c>
      <c r="J65" s="54">
        <f t="shared" si="11"/>
        <v>0</v>
      </c>
      <c r="L65" s="11" t="str">
        <f t="shared" si="7"/>
        <v/>
      </c>
      <c r="M65" s="11" t="str">
        <f t="shared" si="8"/>
        <v/>
      </c>
      <c r="N65" s="11" t="str">
        <f t="shared" si="9"/>
        <v/>
      </c>
    </row>
    <row r="66" spans="3:14">
      <c r="C66" s="51"/>
      <c r="D66" s="24"/>
      <c r="E66" s="24"/>
      <c r="F66" s="24"/>
      <c r="G66" s="52"/>
      <c r="H66" s="53">
        <v>0.19</v>
      </c>
      <c r="I66" s="54">
        <f t="shared" si="10"/>
        <v>0</v>
      </c>
      <c r="J66" s="54">
        <f t="shared" si="11"/>
        <v>0</v>
      </c>
      <c r="L66" s="11" t="str">
        <f t="shared" si="7"/>
        <v/>
      </c>
      <c r="M66" s="11" t="str">
        <f t="shared" si="8"/>
        <v/>
      </c>
      <c r="N66" s="11" t="str">
        <f t="shared" si="9"/>
        <v/>
      </c>
    </row>
    <row r="67" spans="3:14">
      <c r="C67" s="51"/>
      <c r="D67" s="24"/>
      <c r="E67" s="24"/>
      <c r="F67" s="24"/>
      <c r="G67" s="52"/>
      <c r="H67" s="53">
        <v>0.19</v>
      </c>
      <c r="I67" s="54">
        <f t="shared" si="10"/>
        <v>0</v>
      </c>
      <c r="J67" s="54">
        <f t="shared" si="11"/>
        <v>0</v>
      </c>
      <c r="L67" s="11" t="str">
        <f t="shared" si="7"/>
        <v/>
      </c>
      <c r="M67" s="11" t="str">
        <f t="shared" si="8"/>
        <v/>
      </c>
      <c r="N67" s="11" t="str">
        <f t="shared" si="9"/>
        <v/>
      </c>
    </row>
    <row r="68" spans="3:14">
      <c r="C68" s="51"/>
      <c r="D68" s="24"/>
      <c r="E68" s="24"/>
      <c r="F68" s="24"/>
      <c r="G68" s="52"/>
      <c r="H68" s="53">
        <v>0.19</v>
      </c>
      <c r="I68" s="54">
        <f t="shared" si="10"/>
        <v>0</v>
      </c>
      <c r="J68" s="54">
        <f t="shared" si="11"/>
        <v>0</v>
      </c>
      <c r="L68" s="11" t="str">
        <f>IF(C68="","",MONTH(C68))</f>
        <v/>
      </c>
      <c r="M68" s="11" t="str">
        <f>IF(C68="","",YEAR(C68))</f>
        <v/>
      </c>
      <c r="N68" s="11" t="str">
        <f>IF(C68="","",DAY(C68))</f>
        <v/>
      </c>
    </row>
    <row r="69" spans="3:14" ht="19.899999999999999" customHeight="1">
      <c r="C69" s="51"/>
      <c r="D69" s="24"/>
      <c r="E69" s="24"/>
      <c r="F69" s="24"/>
      <c r="G69" s="52"/>
      <c r="H69" s="53">
        <v>0.19</v>
      </c>
      <c r="I69" s="54">
        <f t="shared" si="10"/>
        <v>0</v>
      </c>
      <c r="J69" s="54">
        <f t="shared" si="11"/>
        <v>0</v>
      </c>
      <c r="L69" s="11" t="str">
        <f t="shared" si="7"/>
        <v/>
      </c>
      <c r="M69" s="11" t="str">
        <f t="shared" si="8"/>
        <v/>
      </c>
      <c r="N69" s="11" t="str">
        <f t="shared" si="9"/>
        <v/>
      </c>
    </row>
    <row r="70" spans="3:14">
      <c r="C70" s="51"/>
      <c r="D70" s="24"/>
      <c r="E70" s="24"/>
      <c r="F70" s="24"/>
      <c r="G70" s="52"/>
      <c r="H70" s="53">
        <v>0.19</v>
      </c>
      <c r="I70" s="54">
        <f t="shared" si="10"/>
        <v>0</v>
      </c>
      <c r="J70" s="54">
        <f t="shared" si="11"/>
        <v>0</v>
      </c>
      <c r="L70" s="11" t="str">
        <f t="shared" si="7"/>
        <v/>
      </c>
      <c r="M70" s="11" t="str">
        <f t="shared" si="8"/>
        <v/>
      </c>
      <c r="N70" s="11" t="str">
        <f t="shared" si="9"/>
        <v/>
      </c>
    </row>
    <row r="71" spans="3:14">
      <c r="C71" s="51"/>
      <c r="D71" s="24"/>
      <c r="E71" s="24"/>
      <c r="F71" s="24"/>
      <c r="G71" s="52"/>
      <c r="H71" s="53">
        <v>0.19</v>
      </c>
      <c r="I71" s="54">
        <f t="shared" si="10"/>
        <v>0</v>
      </c>
      <c r="J71" s="54">
        <f t="shared" si="11"/>
        <v>0</v>
      </c>
      <c r="L71" s="11" t="str">
        <f t="shared" ref="L71:L97" si="15">IF(C71="","",MONTH(C71))</f>
        <v/>
      </c>
      <c r="M71" s="11" t="str">
        <f t="shared" ref="M71:M97" si="16">IF(C71="","",YEAR(C71))</f>
        <v/>
      </c>
      <c r="N71" s="11" t="str">
        <f t="shared" ref="N71:N97" si="17">IF(C71="","",DAY(C71))</f>
        <v/>
      </c>
    </row>
    <row r="72" spans="3:14">
      <c r="C72" s="51"/>
      <c r="D72" s="24"/>
      <c r="E72" s="24"/>
      <c r="F72" s="24"/>
      <c r="G72" s="52"/>
      <c r="H72" s="53">
        <v>0.19</v>
      </c>
      <c r="I72" s="54">
        <f t="shared" si="10"/>
        <v>0</v>
      </c>
      <c r="J72" s="54">
        <f t="shared" si="11"/>
        <v>0</v>
      </c>
      <c r="L72" s="11" t="str">
        <f t="shared" si="15"/>
        <v/>
      </c>
      <c r="M72" s="11" t="str">
        <f t="shared" si="16"/>
        <v/>
      </c>
      <c r="N72" s="11" t="str">
        <f t="shared" si="17"/>
        <v/>
      </c>
    </row>
    <row r="73" spans="3:14">
      <c r="C73" s="51"/>
      <c r="D73" s="24"/>
      <c r="E73" s="24"/>
      <c r="F73" s="24"/>
      <c r="G73" s="52"/>
      <c r="H73" s="53">
        <v>0.19</v>
      </c>
      <c r="I73" s="54">
        <f t="shared" si="10"/>
        <v>0</v>
      </c>
      <c r="J73" s="54">
        <f t="shared" si="11"/>
        <v>0</v>
      </c>
      <c r="L73" s="11" t="str">
        <f t="shared" si="15"/>
        <v/>
      </c>
      <c r="M73" s="11" t="str">
        <f t="shared" si="16"/>
        <v/>
      </c>
      <c r="N73" s="11" t="str">
        <f t="shared" si="17"/>
        <v/>
      </c>
    </row>
    <row r="74" spans="3:14">
      <c r="C74" s="51"/>
      <c r="D74" s="24"/>
      <c r="E74" s="24"/>
      <c r="F74" s="24"/>
      <c r="G74" s="52"/>
      <c r="H74" s="53">
        <v>0.19</v>
      </c>
      <c r="I74" s="54">
        <f t="shared" si="10"/>
        <v>0</v>
      </c>
      <c r="J74" s="54">
        <f t="shared" si="11"/>
        <v>0</v>
      </c>
      <c r="L74" s="11" t="str">
        <f t="shared" si="15"/>
        <v/>
      </c>
      <c r="M74" s="11" t="str">
        <f t="shared" si="16"/>
        <v/>
      </c>
      <c r="N74" s="11" t="str">
        <f t="shared" si="17"/>
        <v/>
      </c>
    </row>
    <row r="75" spans="3:14">
      <c r="C75" s="51"/>
      <c r="D75" s="24"/>
      <c r="E75" s="24"/>
      <c r="F75" s="24"/>
      <c r="G75" s="52"/>
      <c r="H75" s="53">
        <v>0.19</v>
      </c>
      <c r="I75" s="54">
        <f t="shared" si="10"/>
        <v>0</v>
      </c>
      <c r="J75" s="54">
        <f t="shared" si="11"/>
        <v>0</v>
      </c>
      <c r="L75" s="11" t="str">
        <f t="shared" si="15"/>
        <v/>
      </c>
      <c r="M75" s="11" t="str">
        <f t="shared" si="16"/>
        <v/>
      </c>
      <c r="N75" s="11" t="str">
        <f t="shared" si="17"/>
        <v/>
      </c>
    </row>
    <row r="76" spans="3:14">
      <c r="C76" s="51"/>
      <c r="D76" s="24"/>
      <c r="E76" s="24"/>
      <c r="F76" s="24"/>
      <c r="G76" s="52"/>
      <c r="H76" s="53">
        <v>0.19</v>
      </c>
      <c r="I76" s="54">
        <f t="shared" si="10"/>
        <v>0</v>
      </c>
      <c r="J76" s="54">
        <f t="shared" si="11"/>
        <v>0</v>
      </c>
      <c r="L76" s="11" t="str">
        <f t="shared" si="15"/>
        <v/>
      </c>
      <c r="M76" s="11" t="str">
        <f t="shared" si="16"/>
        <v/>
      </c>
      <c r="N76" s="11" t="str">
        <f t="shared" si="17"/>
        <v/>
      </c>
    </row>
    <row r="77" spans="3:14">
      <c r="C77" s="51"/>
      <c r="D77" s="24"/>
      <c r="E77" s="24"/>
      <c r="F77" s="24"/>
      <c r="G77" s="52"/>
      <c r="H77" s="53">
        <v>0.19</v>
      </c>
      <c r="I77" s="54">
        <f t="shared" si="10"/>
        <v>0</v>
      </c>
      <c r="J77" s="54">
        <f t="shared" si="11"/>
        <v>0</v>
      </c>
      <c r="L77" s="11" t="str">
        <f t="shared" si="15"/>
        <v/>
      </c>
      <c r="M77" s="11" t="str">
        <f t="shared" si="16"/>
        <v/>
      </c>
      <c r="N77" s="11" t="str">
        <f t="shared" si="17"/>
        <v/>
      </c>
    </row>
    <row r="78" spans="3:14">
      <c r="C78" s="51"/>
      <c r="D78" s="24"/>
      <c r="E78" s="24"/>
      <c r="F78" s="24"/>
      <c r="G78" s="52"/>
      <c r="H78" s="53">
        <v>0.19</v>
      </c>
      <c r="I78" s="54">
        <f t="shared" si="10"/>
        <v>0</v>
      </c>
      <c r="J78" s="54">
        <f t="shared" si="11"/>
        <v>0</v>
      </c>
      <c r="L78" s="11" t="str">
        <f t="shared" si="15"/>
        <v/>
      </c>
      <c r="M78" s="11" t="str">
        <f t="shared" si="16"/>
        <v/>
      </c>
      <c r="N78" s="11" t="str">
        <f t="shared" si="17"/>
        <v/>
      </c>
    </row>
    <row r="79" spans="3:14">
      <c r="C79" s="51"/>
      <c r="D79" s="24"/>
      <c r="E79" s="24"/>
      <c r="F79" s="24"/>
      <c r="G79" s="52"/>
      <c r="H79" s="53">
        <v>0.19</v>
      </c>
      <c r="I79" s="54">
        <f t="shared" si="10"/>
        <v>0</v>
      </c>
      <c r="J79" s="54">
        <f t="shared" si="11"/>
        <v>0</v>
      </c>
      <c r="L79" s="11" t="str">
        <f t="shared" si="15"/>
        <v/>
      </c>
      <c r="M79" s="11" t="str">
        <f t="shared" si="16"/>
        <v/>
      </c>
      <c r="N79" s="11" t="str">
        <f t="shared" si="17"/>
        <v/>
      </c>
    </row>
    <row r="80" spans="3:14">
      <c r="C80" s="51"/>
      <c r="D80" s="24"/>
      <c r="E80" s="24"/>
      <c r="F80" s="24"/>
      <c r="G80" s="52"/>
      <c r="H80" s="53">
        <v>0.19</v>
      </c>
      <c r="I80" s="54">
        <f t="shared" si="10"/>
        <v>0</v>
      </c>
      <c r="J80" s="54">
        <f t="shared" si="11"/>
        <v>0</v>
      </c>
      <c r="L80" s="11" t="str">
        <f t="shared" si="15"/>
        <v/>
      </c>
      <c r="M80" s="11" t="str">
        <f t="shared" si="16"/>
        <v/>
      </c>
      <c r="N80" s="11" t="str">
        <f t="shared" si="17"/>
        <v/>
      </c>
    </row>
    <row r="81" spans="3:14">
      <c r="C81" s="51"/>
      <c r="D81" s="24"/>
      <c r="E81" s="24"/>
      <c r="F81" s="24"/>
      <c r="G81" s="52"/>
      <c r="H81" s="53">
        <v>0.19</v>
      </c>
      <c r="I81" s="54">
        <f t="shared" si="10"/>
        <v>0</v>
      </c>
      <c r="J81" s="54">
        <f t="shared" si="11"/>
        <v>0</v>
      </c>
      <c r="L81" s="11" t="str">
        <f t="shared" si="15"/>
        <v/>
      </c>
      <c r="M81" s="11" t="str">
        <f t="shared" si="16"/>
        <v/>
      </c>
      <c r="N81" s="11" t="str">
        <f t="shared" si="17"/>
        <v/>
      </c>
    </row>
    <row r="82" spans="3:14">
      <c r="C82" s="51"/>
      <c r="D82" s="24"/>
      <c r="E82" s="24"/>
      <c r="F82" s="24"/>
      <c r="G82" s="52"/>
      <c r="H82" s="53">
        <v>0.19</v>
      </c>
      <c r="I82" s="54">
        <f t="shared" si="10"/>
        <v>0</v>
      </c>
      <c r="J82" s="54">
        <f t="shared" si="11"/>
        <v>0</v>
      </c>
      <c r="L82" s="11" t="str">
        <f t="shared" si="15"/>
        <v/>
      </c>
      <c r="M82" s="11" t="str">
        <f t="shared" si="16"/>
        <v/>
      </c>
      <c r="N82" s="11" t="str">
        <f t="shared" si="17"/>
        <v/>
      </c>
    </row>
    <row r="83" spans="3:14">
      <c r="C83" s="51"/>
      <c r="D83" s="24"/>
      <c r="E83" s="24"/>
      <c r="F83" s="24"/>
      <c r="G83" s="52"/>
      <c r="H83" s="53">
        <v>0.19</v>
      </c>
      <c r="I83" s="54">
        <f t="shared" si="10"/>
        <v>0</v>
      </c>
      <c r="J83" s="54">
        <f t="shared" si="11"/>
        <v>0</v>
      </c>
      <c r="L83" s="11" t="str">
        <f t="shared" si="15"/>
        <v/>
      </c>
      <c r="M83" s="11" t="str">
        <f t="shared" si="16"/>
        <v/>
      </c>
      <c r="N83" s="11" t="str">
        <f t="shared" si="17"/>
        <v/>
      </c>
    </row>
    <row r="84" spans="3:14">
      <c r="C84" s="51"/>
      <c r="D84" s="24"/>
      <c r="E84" s="24"/>
      <c r="F84" s="24"/>
      <c r="G84" s="52"/>
      <c r="H84" s="53">
        <v>0.19</v>
      </c>
      <c r="I84" s="54">
        <f t="shared" si="10"/>
        <v>0</v>
      </c>
      <c r="J84" s="54">
        <f t="shared" si="11"/>
        <v>0</v>
      </c>
      <c r="L84" s="11" t="str">
        <f t="shared" si="15"/>
        <v/>
      </c>
      <c r="M84" s="11" t="str">
        <f t="shared" si="16"/>
        <v/>
      </c>
      <c r="N84" s="11" t="str">
        <f t="shared" si="17"/>
        <v/>
      </c>
    </row>
    <row r="85" spans="3:14">
      <c r="C85" s="51"/>
      <c r="D85" s="24"/>
      <c r="E85" s="24"/>
      <c r="F85" s="24"/>
      <c r="G85" s="52"/>
      <c r="H85" s="53">
        <v>0.19</v>
      </c>
      <c r="I85" s="54">
        <f t="shared" si="10"/>
        <v>0</v>
      </c>
      <c r="J85" s="54">
        <f t="shared" si="11"/>
        <v>0</v>
      </c>
      <c r="L85" s="11" t="str">
        <f t="shared" si="15"/>
        <v/>
      </c>
      <c r="M85" s="11" t="str">
        <f t="shared" si="16"/>
        <v/>
      </c>
      <c r="N85" s="11" t="str">
        <f t="shared" si="17"/>
        <v/>
      </c>
    </row>
    <row r="86" spans="3:14">
      <c r="C86" s="51"/>
      <c r="D86" s="24"/>
      <c r="E86" s="24"/>
      <c r="F86" s="24"/>
      <c r="G86" s="52"/>
      <c r="H86" s="53">
        <v>0.19</v>
      </c>
      <c r="I86" s="54">
        <f t="shared" si="10"/>
        <v>0</v>
      </c>
      <c r="J86" s="54">
        <f t="shared" si="11"/>
        <v>0</v>
      </c>
      <c r="L86" s="11" t="str">
        <f t="shared" si="15"/>
        <v/>
      </c>
      <c r="M86" s="11" t="str">
        <f t="shared" si="16"/>
        <v/>
      </c>
      <c r="N86" s="11" t="str">
        <f t="shared" si="17"/>
        <v/>
      </c>
    </row>
    <row r="87" spans="3:14">
      <c r="C87" s="51"/>
      <c r="D87" s="24"/>
      <c r="E87" s="24"/>
      <c r="F87" s="24"/>
      <c r="G87" s="52"/>
      <c r="H87" s="53">
        <v>0.19</v>
      </c>
      <c r="I87" s="54">
        <f t="shared" si="10"/>
        <v>0</v>
      </c>
      <c r="J87" s="54">
        <f t="shared" si="11"/>
        <v>0</v>
      </c>
      <c r="L87" s="11" t="str">
        <f t="shared" si="15"/>
        <v/>
      </c>
      <c r="M87" s="11" t="str">
        <f t="shared" si="16"/>
        <v/>
      </c>
      <c r="N87" s="11" t="str">
        <f t="shared" si="17"/>
        <v/>
      </c>
    </row>
    <row r="88" spans="3:14">
      <c r="C88" s="51"/>
      <c r="D88" s="24"/>
      <c r="E88" s="24"/>
      <c r="F88" s="24"/>
      <c r="G88" s="52"/>
      <c r="H88" s="53">
        <v>0.19</v>
      </c>
      <c r="I88" s="54">
        <f t="shared" si="10"/>
        <v>0</v>
      </c>
      <c r="J88" s="54">
        <f t="shared" si="11"/>
        <v>0</v>
      </c>
      <c r="L88" s="11" t="str">
        <f t="shared" si="15"/>
        <v/>
      </c>
      <c r="M88" s="11" t="str">
        <f t="shared" si="16"/>
        <v/>
      </c>
      <c r="N88" s="11" t="str">
        <f t="shared" si="17"/>
        <v/>
      </c>
    </row>
    <row r="89" spans="3:14">
      <c r="C89" s="51"/>
      <c r="D89" s="24"/>
      <c r="E89" s="24"/>
      <c r="F89" s="24"/>
      <c r="G89" s="52"/>
      <c r="H89" s="53">
        <v>0.19</v>
      </c>
      <c r="I89" s="54">
        <f t="shared" si="10"/>
        <v>0</v>
      </c>
      <c r="J89" s="54">
        <f t="shared" si="11"/>
        <v>0</v>
      </c>
      <c r="L89" s="11" t="str">
        <f t="shared" si="15"/>
        <v/>
      </c>
      <c r="M89" s="11" t="str">
        <f t="shared" si="16"/>
        <v/>
      </c>
      <c r="N89" s="11" t="str">
        <f t="shared" si="17"/>
        <v/>
      </c>
    </row>
    <row r="90" spans="3:14">
      <c r="C90" s="51"/>
      <c r="D90" s="24"/>
      <c r="E90" s="24"/>
      <c r="F90" s="24"/>
      <c r="G90" s="52"/>
      <c r="H90" s="53">
        <v>0.19</v>
      </c>
      <c r="I90" s="54">
        <f t="shared" si="10"/>
        <v>0</v>
      </c>
      <c r="J90" s="54">
        <f t="shared" si="11"/>
        <v>0</v>
      </c>
      <c r="L90" s="11" t="str">
        <f t="shared" si="15"/>
        <v/>
      </c>
      <c r="M90" s="11" t="str">
        <f t="shared" si="16"/>
        <v/>
      </c>
      <c r="N90" s="11" t="str">
        <f t="shared" si="17"/>
        <v/>
      </c>
    </row>
    <row r="91" spans="3:14">
      <c r="C91" s="51"/>
      <c r="D91" s="24"/>
      <c r="E91" s="24"/>
      <c r="F91" s="24"/>
      <c r="G91" s="52"/>
      <c r="H91" s="53">
        <v>0.19</v>
      </c>
      <c r="I91" s="54">
        <f t="shared" si="10"/>
        <v>0</v>
      </c>
      <c r="J91" s="54">
        <f t="shared" si="11"/>
        <v>0</v>
      </c>
      <c r="L91" s="11" t="str">
        <f t="shared" si="15"/>
        <v/>
      </c>
      <c r="M91" s="11" t="str">
        <f t="shared" si="16"/>
        <v/>
      </c>
      <c r="N91" s="11" t="str">
        <f t="shared" si="17"/>
        <v/>
      </c>
    </row>
    <row r="92" spans="3:14">
      <c r="C92" s="51"/>
      <c r="D92" s="24"/>
      <c r="E92" s="24"/>
      <c r="F92" s="24"/>
      <c r="G92" s="52"/>
      <c r="H92" s="53">
        <v>0.19</v>
      </c>
      <c r="I92" s="54">
        <f t="shared" si="10"/>
        <v>0</v>
      </c>
      <c r="J92" s="54">
        <f t="shared" si="11"/>
        <v>0</v>
      </c>
      <c r="L92" s="11" t="str">
        <f t="shared" si="15"/>
        <v/>
      </c>
      <c r="M92" s="11" t="str">
        <f t="shared" si="16"/>
        <v/>
      </c>
      <c r="N92" s="11" t="str">
        <f t="shared" si="17"/>
        <v/>
      </c>
    </row>
    <row r="93" spans="3:14">
      <c r="C93" s="51"/>
      <c r="D93" s="24"/>
      <c r="E93" s="24"/>
      <c r="F93" s="24"/>
      <c r="G93" s="52"/>
      <c r="H93" s="53">
        <v>0.19</v>
      </c>
      <c r="I93" s="54">
        <f t="shared" si="10"/>
        <v>0</v>
      </c>
      <c r="J93" s="54">
        <f t="shared" si="11"/>
        <v>0</v>
      </c>
      <c r="L93" s="11" t="str">
        <f t="shared" si="15"/>
        <v/>
      </c>
      <c r="M93" s="11" t="str">
        <f t="shared" si="16"/>
        <v/>
      </c>
      <c r="N93" s="11" t="str">
        <f t="shared" si="17"/>
        <v/>
      </c>
    </row>
    <row r="94" spans="3:14">
      <c r="C94" s="51"/>
      <c r="D94" s="24"/>
      <c r="E94" s="24"/>
      <c r="F94" s="24"/>
      <c r="G94" s="52"/>
      <c r="H94" s="53">
        <v>0.19</v>
      </c>
      <c r="I94" s="54">
        <f t="shared" si="10"/>
        <v>0</v>
      </c>
      <c r="J94" s="54">
        <f t="shared" si="11"/>
        <v>0</v>
      </c>
      <c r="L94" s="11" t="str">
        <f t="shared" si="15"/>
        <v/>
      </c>
      <c r="M94" s="11" t="str">
        <f t="shared" si="16"/>
        <v/>
      </c>
      <c r="N94" s="11" t="str">
        <f t="shared" si="17"/>
        <v/>
      </c>
    </row>
    <row r="95" spans="3:14">
      <c r="C95" s="51"/>
      <c r="D95" s="24"/>
      <c r="E95" s="24"/>
      <c r="F95" s="24"/>
      <c r="G95" s="52"/>
      <c r="H95" s="53">
        <v>0.19</v>
      </c>
      <c r="I95" s="54">
        <f t="shared" si="10"/>
        <v>0</v>
      </c>
      <c r="J95" s="54">
        <f t="shared" si="11"/>
        <v>0</v>
      </c>
      <c r="L95" s="11" t="str">
        <f t="shared" si="15"/>
        <v/>
      </c>
      <c r="M95" s="11" t="str">
        <f t="shared" si="16"/>
        <v/>
      </c>
      <c r="N95" s="11" t="str">
        <f t="shared" si="17"/>
        <v/>
      </c>
    </row>
    <row r="96" spans="3:14">
      <c r="C96" s="51"/>
      <c r="D96" s="24"/>
      <c r="E96" s="24"/>
      <c r="F96" s="24"/>
      <c r="G96" s="52"/>
      <c r="H96" s="53">
        <v>0.19</v>
      </c>
      <c r="I96" s="54">
        <f t="shared" si="10"/>
        <v>0</v>
      </c>
      <c r="J96" s="54">
        <f t="shared" si="11"/>
        <v>0</v>
      </c>
      <c r="L96" s="11" t="str">
        <f t="shared" si="15"/>
        <v/>
      </c>
      <c r="M96" s="11" t="str">
        <f t="shared" si="16"/>
        <v/>
      </c>
      <c r="N96" s="11" t="str">
        <f t="shared" si="17"/>
        <v/>
      </c>
    </row>
    <row r="97" spans="3:14">
      <c r="C97" s="51"/>
      <c r="D97" s="24"/>
      <c r="E97" s="24"/>
      <c r="F97" s="24"/>
      <c r="G97" s="52"/>
      <c r="H97" s="53">
        <v>0.19</v>
      </c>
      <c r="I97" s="54">
        <f t="shared" si="10"/>
        <v>0</v>
      </c>
      <c r="J97" s="54">
        <f t="shared" si="11"/>
        <v>0</v>
      </c>
      <c r="L97" s="11" t="str">
        <f t="shared" si="15"/>
        <v/>
      </c>
      <c r="M97" s="11" t="str">
        <f t="shared" si="16"/>
        <v/>
      </c>
      <c r="N97" s="11" t="str">
        <f t="shared" si="17"/>
        <v/>
      </c>
    </row>
    <row r="98" spans="3:14">
      <c r="C98" s="51"/>
      <c r="D98" s="24"/>
      <c r="E98" s="24"/>
      <c r="F98" s="24"/>
      <c r="G98" s="52"/>
      <c r="H98" s="53"/>
      <c r="I98" s="54">
        <f t="shared" ref="I98:I99" si="18">G98 - (G98 / (1 + H98))</f>
        <v>0</v>
      </c>
      <c r="J98" s="54">
        <f t="shared" ref="J98:J99" si="19">G98 / (1 + H98)</f>
        <v>0</v>
      </c>
      <c r="L98" s="11" t="str">
        <f t="shared" ref="L98:L99" si="20">IF(C98="","",MONTH(C98))</f>
        <v/>
      </c>
      <c r="M98" s="11" t="str">
        <f t="shared" ref="M98:M99" si="21">IF(C98="","",YEAR(C98))</f>
        <v/>
      </c>
      <c r="N98" s="11" t="str">
        <f t="shared" ref="N98:N99" si="22">IF(C98="","",DAY(C98))</f>
        <v/>
      </c>
    </row>
    <row r="99" spans="3:14">
      <c r="C99" s="51"/>
      <c r="D99" s="24"/>
      <c r="E99" s="24"/>
      <c r="F99" s="24"/>
      <c r="G99" s="52"/>
      <c r="H99" s="53"/>
      <c r="I99" s="54">
        <f t="shared" si="18"/>
        <v>0</v>
      </c>
      <c r="J99" s="54">
        <f t="shared" si="19"/>
        <v>0</v>
      </c>
      <c r="L99" s="11" t="str">
        <f t="shared" si="20"/>
        <v/>
      </c>
      <c r="M99" s="11" t="str">
        <f t="shared" si="21"/>
        <v/>
      </c>
      <c r="N99" s="11" t="str">
        <f t="shared" si="22"/>
        <v/>
      </c>
    </row>
    <row r="100" spans="3:14">
      <c r="C100" s="24"/>
      <c r="D100" s="24"/>
      <c r="E100" s="24"/>
      <c r="F100" s="24"/>
      <c r="G100" s="24"/>
      <c r="H100" s="24"/>
    </row>
    <row r="101" spans="3:14">
      <c r="C101" s="24"/>
      <c r="D101" s="24"/>
      <c r="E101" s="24"/>
      <c r="F101" s="24"/>
      <c r="G101" s="24"/>
      <c r="H101" s="24"/>
    </row>
    <row r="102" spans="3:14">
      <c r="C102" s="24"/>
      <c r="D102" s="24"/>
      <c r="E102" s="24"/>
      <c r="F102" s="24"/>
      <c r="G102" s="24"/>
      <c r="H102" s="24"/>
    </row>
    <row r="103" spans="3:14">
      <c r="C103" s="24"/>
      <c r="D103" s="24"/>
      <c r="E103" s="24"/>
      <c r="F103" s="24"/>
      <c r="G103" s="24"/>
      <c r="H103" s="24"/>
    </row>
    <row r="104" spans="3:14">
      <c r="C104" s="24"/>
      <c r="D104" s="24"/>
      <c r="E104" s="24"/>
      <c r="F104" s="24"/>
      <c r="G104" s="24"/>
      <c r="H104" s="24"/>
    </row>
    <row r="105" spans="3:14">
      <c r="C105" s="24"/>
      <c r="D105" s="24"/>
      <c r="E105" s="24"/>
      <c r="F105" s="24"/>
      <c r="G105" s="24"/>
      <c r="H105" s="24"/>
    </row>
    <row r="106" spans="3:14">
      <c r="C106" s="24"/>
      <c r="D106" s="24"/>
      <c r="E106" s="24"/>
      <c r="F106" s="24"/>
      <c r="G106" s="24"/>
      <c r="H106" s="24"/>
    </row>
    <row r="107" spans="3:14">
      <c r="C107" s="24"/>
      <c r="D107" s="24"/>
      <c r="E107" s="24"/>
      <c r="F107" s="24"/>
      <c r="G107" s="24"/>
      <c r="H107" s="24"/>
    </row>
    <row r="108" spans="3:14">
      <c r="C108" s="24"/>
      <c r="D108" s="24"/>
      <c r="E108" s="24"/>
      <c r="F108" s="24"/>
      <c r="G108" s="24"/>
      <c r="H108" s="24"/>
    </row>
    <row r="109" spans="3:14">
      <c r="C109" s="24"/>
      <c r="D109" s="24"/>
      <c r="E109" s="24"/>
      <c r="F109" s="24"/>
      <c r="G109" s="24"/>
      <c r="H109" s="24"/>
    </row>
    <row r="110" spans="3:14">
      <c r="C110" s="24"/>
      <c r="D110" s="24"/>
      <c r="E110" s="24"/>
      <c r="F110" s="24"/>
      <c r="G110" s="24"/>
      <c r="H110" s="24"/>
    </row>
    <row r="111" spans="3:14">
      <c r="C111" s="24"/>
      <c r="D111" s="24"/>
      <c r="E111" s="24"/>
      <c r="F111" s="24"/>
      <c r="G111" s="24"/>
      <c r="H111" s="24"/>
    </row>
    <row r="112" spans="3:14">
      <c r="C112" s="24"/>
      <c r="D112" s="24"/>
      <c r="E112" s="24"/>
      <c r="F112" s="24"/>
      <c r="G112" s="24"/>
      <c r="H112" s="24"/>
    </row>
    <row r="113" spans="3:8">
      <c r="C113" s="24"/>
      <c r="D113" s="24"/>
      <c r="E113" s="24"/>
      <c r="F113" s="24"/>
      <c r="G113" s="24"/>
      <c r="H113" s="24"/>
    </row>
    <row r="114" spans="3:8">
      <c r="C114" s="24"/>
      <c r="D114" s="24"/>
      <c r="E114" s="24"/>
      <c r="F114" s="24"/>
      <c r="G114" s="24"/>
      <c r="H114" s="24"/>
    </row>
    <row r="115" spans="3:8">
      <c r="C115" s="24"/>
      <c r="D115" s="24"/>
      <c r="E115" s="24"/>
      <c r="F115" s="24"/>
      <c r="G115" s="24"/>
      <c r="H115" s="24"/>
    </row>
    <row r="116" spans="3:8">
      <c r="C116" s="24"/>
      <c r="D116" s="24"/>
      <c r="E116" s="24"/>
      <c r="F116" s="24"/>
      <c r="G116" s="24"/>
      <c r="H116" s="24"/>
    </row>
    <row r="117" spans="3:8">
      <c r="C117" s="24"/>
      <c r="D117" s="24"/>
      <c r="E117" s="24"/>
      <c r="F117" s="24"/>
      <c r="G117" s="24"/>
      <c r="H117" s="24"/>
    </row>
    <row r="118" spans="3:8">
      <c r="C118" s="24"/>
      <c r="D118" s="24"/>
      <c r="E118" s="24"/>
      <c r="F118" s="24"/>
      <c r="G118" s="24"/>
      <c r="H118" s="24"/>
    </row>
    <row r="119" spans="3:8">
      <c r="C119" s="24"/>
      <c r="D119" s="24"/>
      <c r="E119" s="24"/>
      <c r="F119" s="24"/>
      <c r="G119" s="24"/>
      <c r="H119" s="24"/>
    </row>
    <row r="120" spans="3:8">
      <c r="C120" s="24"/>
      <c r="D120" s="24"/>
      <c r="E120" s="24"/>
      <c r="F120" s="24"/>
      <c r="G120" s="24"/>
      <c r="H120" s="24"/>
    </row>
    <row r="121" spans="3:8">
      <c r="C121" s="24"/>
      <c r="D121" s="24"/>
      <c r="E121" s="24"/>
      <c r="F121" s="24"/>
      <c r="G121" s="24"/>
      <c r="H121" s="24"/>
    </row>
    <row r="122" spans="3:8">
      <c r="C122" s="24"/>
      <c r="D122" s="24"/>
      <c r="E122" s="24"/>
      <c r="F122" s="24"/>
      <c r="G122" s="24"/>
      <c r="H122" s="24"/>
    </row>
    <row r="123" spans="3:8">
      <c r="C123" s="24"/>
      <c r="D123" s="24"/>
      <c r="E123" s="24"/>
      <c r="F123" s="24"/>
      <c r="G123" s="24"/>
      <c r="H123" s="24"/>
    </row>
    <row r="124" spans="3:8">
      <c r="C124" s="24"/>
      <c r="D124" s="24"/>
      <c r="E124" s="24"/>
      <c r="F124" s="24"/>
      <c r="G124" s="24"/>
      <c r="H124" s="24"/>
    </row>
    <row r="125" spans="3:8">
      <c r="C125" s="24"/>
      <c r="D125" s="24"/>
      <c r="E125" s="24"/>
      <c r="F125" s="24"/>
      <c r="G125" s="24"/>
      <c r="H125" s="24"/>
    </row>
    <row r="126" spans="3:8">
      <c r="C126" s="24"/>
      <c r="D126" s="24"/>
      <c r="E126" s="24"/>
      <c r="F126" s="24"/>
      <c r="G126" s="24"/>
      <c r="H126" s="24"/>
    </row>
  </sheetData>
  <mergeCells count="7">
    <mergeCell ref="B2:K3"/>
    <mergeCell ref="D6:E6"/>
    <mergeCell ref="F6:G6"/>
    <mergeCell ref="H6:I6"/>
    <mergeCell ref="D5:E5"/>
    <mergeCell ref="F5:G5"/>
    <mergeCell ref="H5:I5"/>
  </mergeCells>
  <conditionalFormatting sqref="I9:I99">
    <cfRule type="cellIs" dxfId="102" priority="1" operator="equal">
      <formula>0</formula>
    </cfRule>
  </conditionalFormatting>
  <dataValidations count="1">
    <dataValidation allowBlank="1" showInputMessage="1" showErrorMessage="1" prompt="Ingrese la fecha por DIA/MES/AÑO_x000a_Ejemplo: 01/02/2024" sqref="C9 C11:C99"/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#REF!</xm:f>
          </x14:formula1>
          <xm:sqref>D9:D99</xm:sqref>
        </x14:dataValidation>
        <x14:dataValidation type="list" allowBlank="1" showInputMessage="1" showErrorMessage="1">
          <x14:formula1>
            <xm:f>#REF!</xm:f>
          </x14:formula1>
          <xm:sqref>F9:F99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B1:N133"/>
  <sheetViews>
    <sheetView showGridLines="0" zoomScaleNormal="100" workbookViewId="0">
      <pane ySplit="8" topLeftCell="A9" activePane="bottomLeft" state="frozen"/>
      <selection activeCell="G58" sqref="G58"/>
      <selection pane="bottomLeft" activeCell="K28" sqref="K28"/>
    </sheetView>
  </sheetViews>
  <sheetFormatPr baseColWidth="10" defaultColWidth="11.42578125" defaultRowHeight="17.25"/>
  <cols>
    <col min="1" max="1" width="3.5703125" style="11" customWidth="1"/>
    <col min="2" max="2" width="7.140625" style="11" customWidth="1"/>
    <col min="3" max="3" width="15.7109375" style="11" customWidth="1"/>
    <col min="4" max="4" width="31.7109375" style="11" customWidth="1"/>
    <col min="5" max="5" width="32.7109375" style="11" bestFit="1" customWidth="1"/>
    <col min="6" max="6" width="26.85546875" style="11" bestFit="1" customWidth="1"/>
    <col min="7" max="7" width="14.140625" style="57" customWidth="1"/>
    <col min="8" max="8" width="13.140625" style="11" customWidth="1"/>
    <col min="9" max="9" width="0.7109375" style="11" hidden="1" customWidth="1"/>
    <col min="10" max="10" width="15.42578125" style="11" bestFit="1" customWidth="1"/>
    <col min="11" max="11" width="44.85546875" style="11" customWidth="1"/>
    <col min="12" max="12" width="7.7109375" style="11" customWidth="1"/>
    <col min="13" max="13" width="8.7109375" style="11" customWidth="1"/>
    <col min="14" max="14" width="3.7109375" style="11" bestFit="1" customWidth="1"/>
    <col min="15" max="16384" width="11.42578125" style="11"/>
  </cols>
  <sheetData>
    <row r="1" spans="2:14" s="8" customFormat="1" ht="7.5" customHeight="1">
      <c r="G1" s="56"/>
    </row>
    <row r="2" spans="2:14" s="8" customFormat="1" ht="22.5" customHeight="1">
      <c r="B2" s="245" t="s">
        <v>70</v>
      </c>
      <c r="C2" s="245"/>
      <c r="D2" s="245"/>
      <c r="E2" s="245"/>
      <c r="F2" s="245"/>
      <c r="G2" s="245"/>
      <c r="H2" s="245"/>
      <c r="I2" s="245"/>
      <c r="J2" s="245"/>
      <c r="K2" s="245"/>
    </row>
    <row r="3" spans="2:14" s="8" customFormat="1" ht="22.5" customHeight="1">
      <c r="B3" s="245"/>
      <c r="C3" s="245"/>
      <c r="D3" s="245"/>
      <c r="E3" s="245"/>
      <c r="F3" s="245"/>
      <c r="G3" s="245"/>
      <c r="H3" s="245"/>
      <c r="I3" s="245"/>
      <c r="J3" s="245"/>
      <c r="K3" s="245"/>
    </row>
    <row r="4" spans="2:14" ht="16.5" customHeight="1"/>
    <row r="5" spans="2:14" s="9" customFormat="1" ht="19.5" customHeight="1">
      <c r="D5" s="242" t="e">
        <f>#REF! &amp; " " &amp; TEXT(SUM(tbl_ingresos3[Gasto Total]),"#,##0.00")</f>
        <v>#REF!</v>
      </c>
      <c r="E5" s="243"/>
      <c r="F5" s="243" t="e">
        <f>#REF! &amp; " " &amp; TEXT(SUM(tbl_ingresos3[Valor Impuesto]),"#,##0.00")</f>
        <v>#REF!</v>
      </c>
      <c r="G5" s="243"/>
      <c r="H5" s="243" t="e">
        <f>#REF! &amp; " " &amp; TEXT(SUM(tbl_ingresos3[Total Neto]),"#,##0.00")</f>
        <v>#REF!</v>
      </c>
      <c r="I5" s="244"/>
    </row>
    <row r="6" spans="2:14" s="9" customFormat="1" ht="19.5" customHeight="1">
      <c r="D6" s="246" t="s">
        <v>71</v>
      </c>
      <c r="E6" s="247"/>
      <c r="F6" s="247" t="s">
        <v>30</v>
      </c>
      <c r="G6" s="247"/>
      <c r="H6" s="247" t="s">
        <v>72</v>
      </c>
      <c r="I6" s="248"/>
    </row>
    <row r="8" spans="2:14" s="9" customFormat="1" ht="22.5" customHeight="1">
      <c r="B8" s="16" t="s">
        <v>32</v>
      </c>
      <c r="C8" s="16" t="s">
        <v>33</v>
      </c>
      <c r="D8" s="16" t="s">
        <v>34</v>
      </c>
      <c r="E8" s="16" t="s">
        <v>35</v>
      </c>
      <c r="F8" s="16" t="s">
        <v>36</v>
      </c>
      <c r="G8" s="78" t="s">
        <v>73</v>
      </c>
      <c r="H8" s="16" t="s">
        <v>38</v>
      </c>
      <c r="I8" s="16" t="s">
        <v>39</v>
      </c>
      <c r="J8" s="16" t="s">
        <v>40</v>
      </c>
      <c r="K8" s="16" t="s">
        <v>41</v>
      </c>
      <c r="L8" s="13" t="s">
        <v>7</v>
      </c>
      <c r="M8" s="13" t="s">
        <v>8</v>
      </c>
      <c r="N8" s="14" t="s">
        <v>42</v>
      </c>
    </row>
    <row r="9" spans="2:14">
      <c r="B9" s="11">
        <v>415</v>
      </c>
      <c r="C9" s="12">
        <v>45740</v>
      </c>
      <c r="D9" s="11" t="s">
        <v>20</v>
      </c>
      <c r="E9" s="11" t="s">
        <v>74</v>
      </c>
      <c r="F9" s="11" t="s">
        <v>44</v>
      </c>
      <c r="G9" s="59">
        <v>1200000</v>
      </c>
      <c r="H9" s="17">
        <v>0</v>
      </c>
      <c r="I9" s="18">
        <f>G9 - (G9 / (1 + H9))</f>
        <v>0</v>
      </c>
      <c r="J9" s="25">
        <f>G9 / (1 + H9)</f>
        <v>1200000</v>
      </c>
      <c r="K9" s="11" t="s">
        <v>75</v>
      </c>
      <c r="L9" s="11">
        <f>IF(C9="","",MONTH(C9))</f>
        <v>3</v>
      </c>
      <c r="M9" s="11">
        <f>IF(C9="","",YEAR(C9))</f>
        <v>2025</v>
      </c>
      <c r="N9" s="11">
        <f>IF(C9="","",DAY(C9))</f>
        <v>24</v>
      </c>
    </row>
    <row r="10" spans="2:14">
      <c r="B10" s="11">
        <v>408</v>
      </c>
      <c r="C10" s="188">
        <v>46112</v>
      </c>
      <c r="D10" s="11" t="s">
        <v>14</v>
      </c>
      <c r="E10" s="61" t="s">
        <v>76</v>
      </c>
      <c r="F10" s="11" t="s">
        <v>6</v>
      </c>
      <c r="G10" s="79">
        <v>594952</v>
      </c>
      <c r="H10" s="17">
        <v>0</v>
      </c>
      <c r="I10" s="54">
        <f>G10 - (G10 / (1 + H10))</f>
        <v>0</v>
      </c>
      <c r="J10" s="54">
        <f>G10 / (1 + H10)</f>
        <v>594952</v>
      </c>
      <c r="K10" s="61" t="s">
        <v>76</v>
      </c>
      <c r="L10" s="11">
        <f>IF(C10="","",MONTH(C10))</f>
        <v>3</v>
      </c>
      <c r="M10" s="11">
        <f>IF(C10="","",YEAR(C10))</f>
        <v>2026</v>
      </c>
      <c r="N10" s="11">
        <f>IF(C10="","",DAY(C10))</f>
        <v>31</v>
      </c>
    </row>
    <row r="11" spans="2:14">
      <c r="B11" s="11">
        <v>404</v>
      </c>
      <c r="C11" s="188">
        <v>46097</v>
      </c>
      <c r="D11" s="11" t="s">
        <v>9</v>
      </c>
      <c r="E11" s="11" t="s">
        <v>77</v>
      </c>
      <c r="F11" s="11" t="s">
        <v>6</v>
      </c>
      <c r="G11" s="79">
        <v>673240</v>
      </c>
      <c r="H11" s="17">
        <v>0</v>
      </c>
      <c r="I11" s="54">
        <f t="shared" ref="I11:I15" si="0">G11 - (G11 / (1 + H11))</f>
        <v>0</v>
      </c>
      <c r="J11" s="54">
        <f t="shared" ref="J11:J15" si="1">G11 / (1 + H11)</f>
        <v>673240</v>
      </c>
      <c r="K11" s="11" t="s">
        <v>78</v>
      </c>
      <c r="L11" s="11">
        <f t="shared" ref="L11:L15" si="2">IF(C11="","",MONTH(C11))</f>
        <v>3</v>
      </c>
      <c r="M11" s="11">
        <f t="shared" ref="M11:M15" si="3">IF(C11="","",YEAR(C11))</f>
        <v>2026</v>
      </c>
      <c r="N11" s="11">
        <f t="shared" ref="N11:N15" si="4">IF(C11="","",DAY(C11))</f>
        <v>16</v>
      </c>
    </row>
    <row r="12" spans="2:14">
      <c r="C12" s="188">
        <v>46086</v>
      </c>
      <c r="D12" s="11" t="s">
        <v>21</v>
      </c>
      <c r="E12" s="11" t="s">
        <v>79</v>
      </c>
      <c r="F12" s="11" t="s">
        <v>13</v>
      </c>
      <c r="G12" s="79">
        <v>8800</v>
      </c>
      <c r="H12" s="17">
        <v>0</v>
      </c>
      <c r="I12" s="54">
        <f>G12 - (G12 / (1 + H12))</f>
        <v>0</v>
      </c>
      <c r="J12" s="54">
        <f>G12 / (1 + H12)</f>
        <v>8800</v>
      </c>
      <c r="L12" s="11">
        <f t="shared" si="2"/>
        <v>3</v>
      </c>
      <c r="M12" s="11">
        <f t="shared" si="3"/>
        <v>2026</v>
      </c>
      <c r="N12" s="11">
        <f t="shared" si="4"/>
        <v>5</v>
      </c>
    </row>
    <row r="13" spans="2:14">
      <c r="C13" s="188">
        <v>46100</v>
      </c>
      <c r="D13" s="11" t="s">
        <v>21</v>
      </c>
      <c r="E13" s="11" t="s">
        <v>80</v>
      </c>
      <c r="F13" s="11" t="s">
        <v>6</v>
      </c>
      <c r="G13" s="79">
        <v>100000</v>
      </c>
      <c r="H13" s="17">
        <v>0</v>
      </c>
      <c r="I13" s="54">
        <f>G13 - (G13 / (1 + H13))</f>
        <v>0</v>
      </c>
      <c r="J13" s="54">
        <f>G13 / (1 + H13)</f>
        <v>100000</v>
      </c>
      <c r="K13" s="11" t="s">
        <v>81</v>
      </c>
      <c r="L13" s="11">
        <f t="shared" si="2"/>
        <v>3</v>
      </c>
      <c r="M13" s="11">
        <f t="shared" si="3"/>
        <v>2026</v>
      </c>
      <c r="N13" s="11">
        <f t="shared" si="4"/>
        <v>19</v>
      </c>
    </row>
    <row r="14" spans="2:14">
      <c r="C14" s="188">
        <v>46104</v>
      </c>
      <c r="D14" s="11" t="s">
        <v>12</v>
      </c>
      <c r="E14" s="11" t="s">
        <v>82</v>
      </c>
      <c r="F14" s="11" t="s">
        <v>6</v>
      </c>
      <c r="G14" s="79">
        <v>20000</v>
      </c>
      <c r="H14" s="17">
        <v>0</v>
      </c>
      <c r="I14" s="54">
        <f t="shared" si="0"/>
        <v>0</v>
      </c>
      <c r="J14" s="54">
        <f t="shared" si="1"/>
        <v>20000</v>
      </c>
      <c r="K14" s="11" t="s">
        <v>83</v>
      </c>
      <c r="L14" s="11">
        <f t="shared" si="2"/>
        <v>3</v>
      </c>
      <c r="M14" s="11">
        <f t="shared" si="3"/>
        <v>2026</v>
      </c>
      <c r="N14" s="11">
        <f t="shared" si="4"/>
        <v>23</v>
      </c>
    </row>
    <row r="15" spans="2:14">
      <c r="C15" s="188">
        <v>46085</v>
      </c>
      <c r="D15" s="11" t="s">
        <v>12</v>
      </c>
      <c r="E15" s="11" t="s">
        <v>84</v>
      </c>
      <c r="F15" s="11" t="s">
        <v>13</v>
      </c>
      <c r="G15" s="79">
        <v>9800</v>
      </c>
      <c r="H15" s="17">
        <v>0</v>
      </c>
      <c r="I15" s="54">
        <f t="shared" si="0"/>
        <v>0</v>
      </c>
      <c r="J15" s="54">
        <f t="shared" si="1"/>
        <v>9800</v>
      </c>
      <c r="K15" s="11" t="s">
        <v>85</v>
      </c>
      <c r="L15" s="11">
        <f t="shared" si="2"/>
        <v>3</v>
      </c>
      <c r="M15" s="11">
        <f t="shared" si="3"/>
        <v>2026</v>
      </c>
      <c r="N15" s="11">
        <f t="shared" si="4"/>
        <v>4</v>
      </c>
    </row>
    <row r="16" spans="2:14">
      <c r="C16" s="188">
        <v>46084</v>
      </c>
      <c r="D16" s="11" t="s">
        <v>12</v>
      </c>
      <c r="E16" s="11" t="s">
        <v>82</v>
      </c>
      <c r="F16" s="11" t="s">
        <v>13</v>
      </c>
      <c r="G16" s="79">
        <v>8140</v>
      </c>
      <c r="H16" s="17">
        <v>0</v>
      </c>
      <c r="I16" s="54">
        <f t="shared" ref="I16:I21" si="5">G16 - (G16 / (1 + H16))</f>
        <v>0</v>
      </c>
      <c r="J16" s="54">
        <f t="shared" ref="J16:J21" si="6">G16 / (1 + H16)</f>
        <v>8140</v>
      </c>
      <c r="K16" s="11" t="s">
        <v>83</v>
      </c>
      <c r="L16" s="11">
        <f t="shared" ref="L16:L21" si="7">IF(C16="","",MONTH(C16))</f>
        <v>3</v>
      </c>
      <c r="M16" s="11">
        <f t="shared" ref="M16:M21" si="8">IF(C16="","",YEAR(C16))</f>
        <v>2026</v>
      </c>
      <c r="N16" s="11">
        <f t="shared" ref="N16:N21" si="9">IF(C16="","",DAY(C16))</f>
        <v>3</v>
      </c>
    </row>
    <row r="17" spans="3:14">
      <c r="C17" s="188">
        <v>46126</v>
      </c>
      <c r="D17" s="11" t="s">
        <v>16</v>
      </c>
      <c r="E17" s="11" t="s">
        <v>86</v>
      </c>
      <c r="F17" s="11" t="s">
        <v>13</v>
      </c>
      <c r="G17" s="79">
        <v>8125</v>
      </c>
      <c r="H17" s="193">
        <v>0.19</v>
      </c>
      <c r="I17" s="54">
        <f t="shared" si="5"/>
        <v>1297.2689075630251</v>
      </c>
      <c r="J17" s="54">
        <f t="shared" si="6"/>
        <v>6827.7310924369749</v>
      </c>
      <c r="L17" s="11">
        <f t="shared" si="7"/>
        <v>4</v>
      </c>
      <c r="M17" s="11">
        <f t="shared" si="8"/>
        <v>2026</v>
      </c>
      <c r="N17" s="11">
        <f t="shared" si="9"/>
        <v>14</v>
      </c>
    </row>
    <row r="18" spans="3:14">
      <c r="C18" s="188">
        <v>46126</v>
      </c>
      <c r="D18" s="11" t="s">
        <v>16</v>
      </c>
      <c r="E18" s="11" t="s">
        <v>87</v>
      </c>
      <c r="F18" s="11" t="s">
        <v>13</v>
      </c>
      <c r="G18" s="79">
        <v>43228</v>
      </c>
      <c r="H18" s="193">
        <v>0.19</v>
      </c>
      <c r="I18" s="54">
        <f t="shared" si="5"/>
        <v>6901.9495798319331</v>
      </c>
      <c r="J18" s="54">
        <f t="shared" si="6"/>
        <v>36326.050420168067</v>
      </c>
      <c r="L18" s="11">
        <f t="shared" si="7"/>
        <v>4</v>
      </c>
      <c r="M18" s="11">
        <f t="shared" si="8"/>
        <v>2026</v>
      </c>
      <c r="N18" s="11">
        <f t="shared" si="9"/>
        <v>14</v>
      </c>
    </row>
    <row r="19" spans="3:14">
      <c r="C19" s="188">
        <v>46126</v>
      </c>
      <c r="D19" s="11" t="s">
        <v>14</v>
      </c>
      <c r="E19" s="11" t="s">
        <v>88</v>
      </c>
      <c r="F19" s="11" t="s">
        <v>13</v>
      </c>
      <c r="G19" s="79">
        <v>470000</v>
      </c>
      <c r="H19" s="193">
        <v>0.19</v>
      </c>
      <c r="I19" s="54">
        <f t="shared" si="5"/>
        <v>75042.016806722677</v>
      </c>
      <c r="J19" s="54">
        <f t="shared" si="6"/>
        <v>394957.98319327732</v>
      </c>
      <c r="K19" s="61" t="s">
        <v>89</v>
      </c>
      <c r="L19" s="11">
        <f t="shared" si="7"/>
        <v>4</v>
      </c>
      <c r="M19" s="11">
        <f t="shared" si="8"/>
        <v>2026</v>
      </c>
      <c r="N19" s="11">
        <f t="shared" si="9"/>
        <v>14</v>
      </c>
    </row>
    <row r="20" spans="3:14">
      <c r="C20" s="188">
        <v>46126</v>
      </c>
      <c r="D20" s="11" t="s">
        <v>9</v>
      </c>
      <c r="E20" s="11" t="s">
        <v>90</v>
      </c>
      <c r="F20" s="11" t="s">
        <v>13</v>
      </c>
      <c r="G20" s="79">
        <v>673240</v>
      </c>
      <c r="H20" s="193">
        <v>0.19</v>
      </c>
      <c r="I20" s="54">
        <f t="shared" si="5"/>
        <v>107492.10084033606</v>
      </c>
      <c r="J20" s="54">
        <f t="shared" si="6"/>
        <v>565747.89915966394</v>
      </c>
      <c r="K20" s="11" t="s">
        <v>91</v>
      </c>
      <c r="L20" s="11">
        <f t="shared" si="7"/>
        <v>4</v>
      </c>
      <c r="M20" s="11">
        <f t="shared" si="8"/>
        <v>2026</v>
      </c>
      <c r="N20" s="11">
        <f t="shared" si="9"/>
        <v>14</v>
      </c>
    </row>
    <row r="21" spans="3:14">
      <c r="C21" s="188">
        <v>46127</v>
      </c>
      <c r="D21" s="11" t="s">
        <v>15</v>
      </c>
      <c r="E21" s="11" t="s">
        <v>92</v>
      </c>
      <c r="F21" s="11" t="s">
        <v>6</v>
      </c>
      <c r="G21" s="79">
        <v>737351</v>
      </c>
      <c r="H21" s="193">
        <v>0.19</v>
      </c>
      <c r="I21" s="54">
        <f t="shared" si="5"/>
        <v>117728.31092436973</v>
      </c>
      <c r="J21" s="54">
        <f t="shared" si="6"/>
        <v>619622.68907563027</v>
      </c>
      <c r="K21" s="11" t="s">
        <v>93</v>
      </c>
      <c r="L21" s="11">
        <f t="shared" si="7"/>
        <v>4</v>
      </c>
      <c r="M21" s="11">
        <f t="shared" si="8"/>
        <v>2026</v>
      </c>
      <c r="N21" s="11">
        <f t="shared" si="9"/>
        <v>15</v>
      </c>
    </row>
    <row r="22" spans="3:14">
      <c r="C22" s="188">
        <v>46127</v>
      </c>
      <c r="D22" s="11" t="s">
        <v>15</v>
      </c>
      <c r="E22" s="11" t="s">
        <v>94</v>
      </c>
      <c r="F22" s="11" t="s">
        <v>6</v>
      </c>
      <c r="G22" s="79">
        <v>156027</v>
      </c>
      <c r="H22" s="193">
        <v>0.19</v>
      </c>
      <c r="I22" s="54">
        <f t="shared" ref="I22:I85" si="10">G22 - (G22 / (1 + H22))</f>
        <v>24911.873949579836</v>
      </c>
      <c r="J22" s="54">
        <f t="shared" ref="J22:J85" si="11">G22 / (1 + H22)</f>
        <v>131115.12605042016</v>
      </c>
      <c r="K22" s="11" t="s">
        <v>95</v>
      </c>
      <c r="L22" s="11">
        <f t="shared" ref="L22:L53" si="12">IF(C22="","",MONTH(C22))</f>
        <v>4</v>
      </c>
      <c r="M22" s="11">
        <f t="shared" ref="M22:M53" si="13">IF(C22="","",YEAR(C22))</f>
        <v>2026</v>
      </c>
      <c r="N22" s="11">
        <f t="shared" ref="N22:N53" si="14">IF(C22="","",DAY(C22))</f>
        <v>15</v>
      </c>
    </row>
    <row r="23" spans="3:14">
      <c r="C23" s="188">
        <v>46126</v>
      </c>
      <c r="G23" s="79"/>
      <c r="H23" s="193">
        <v>0.19</v>
      </c>
      <c r="I23" s="54">
        <f t="shared" si="10"/>
        <v>0</v>
      </c>
      <c r="J23" s="54">
        <f t="shared" si="11"/>
        <v>0</v>
      </c>
      <c r="L23" s="11">
        <f t="shared" si="12"/>
        <v>4</v>
      </c>
      <c r="M23" s="11">
        <f t="shared" si="13"/>
        <v>2026</v>
      </c>
      <c r="N23" s="11">
        <f t="shared" si="14"/>
        <v>14</v>
      </c>
    </row>
    <row r="24" spans="3:14">
      <c r="C24" s="188"/>
      <c r="G24" s="79"/>
      <c r="H24" s="193">
        <v>0.19</v>
      </c>
      <c r="I24" s="54">
        <f t="shared" si="10"/>
        <v>0</v>
      </c>
      <c r="J24" s="54">
        <f t="shared" si="11"/>
        <v>0</v>
      </c>
      <c r="L24" s="11" t="str">
        <f t="shared" si="12"/>
        <v/>
      </c>
      <c r="M24" s="11" t="str">
        <f t="shared" si="13"/>
        <v/>
      </c>
      <c r="N24" s="11" t="str">
        <f t="shared" si="14"/>
        <v/>
      </c>
    </row>
    <row r="25" spans="3:14">
      <c r="C25" s="188" t="s">
        <v>96</v>
      </c>
      <c r="G25" s="79"/>
      <c r="H25" s="193">
        <v>0.19</v>
      </c>
      <c r="I25" s="54">
        <f t="shared" si="10"/>
        <v>0</v>
      </c>
      <c r="J25" s="54">
        <f t="shared" si="11"/>
        <v>0</v>
      </c>
      <c r="L25" s="11">
        <f t="shared" si="12"/>
        <v>3</v>
      </c>
      <c r="M25" s="11">
        <f t="shared" si="13"/>
        <v>2026</v>
      </c>
      <c r="N25" s="11">
        <f t="shared" si="14"/>
        <v>3</v>
      </c>
    </row>
    <row r="26" spans="3:14">
      <c r="C26" s="188"/>
      <c r="G26" s="79"/>
      <c r="H26" s="193">
        <v>0.19</v>
      </c>
      <c r="I26" s="54">
        <f t="shared" si="10"/>
        <v>0</v>
      </c>
      <c r="J26" s="54">
        <f t="shared" si="11"/>
        <v>0</v>
      </c>
      <c r="L26" s="11" t="str">
        <f t="shared" si="12"/>
        <v/>
      </c>
      <c r="M26" s="11" t="str">
        <f t="shared" si="13"/>
        <v/>
      </c>
      <c r="N26" s="11" t="str">
        <f t="shared" si="14"/>
        <v/>
      </c>
    </row>
    <row r="27" spans="3:14">
      <c r="C27" s="188"/>
      <c r="G27" s="79"/>
      <c r="H27" s="193">
        <v>0.19</v>
      </c>
      <c r="I27" s="54">
        <f t="shared" si="10"/>
        <v>0</v>
      </c>
      <c r="J27" s="54">
        <f t="shared" si="11"/>
        <v>0</v>
      </c>
      <c r="L27" s="11" t="str">
        <f t="shared" si="12"/>
        <v/>
      </c>
      <c r="M27" s="11" t="str">
        <f t="shared" si="13"/>
        <v/>
      </c>
      <c r="N27" s="11" t="str">
        <f t="shared" si="14"/>
        <v/>
      </c>
    </row>
    <row r="28" spans="3:14">
      <c r="C28" s="188"/>
      <c r="G28" s="79"/>
      <c r="H28" s="193">
        <v>0.19</v>
      </c>
      <c r="I28" s="54">
        <f t="shared" si="10"/>
        <v>0</v>
      </c>
      <c r="J28" s="54">
        <f t="shared" si="11"/>
        <v>0</v>
      </c>
      <c r="L28" s="11" t="str">
        <f t="shared" si="12"/>
        <v/>
      </c>
      <c r="M28" s="11" t="str">
        <f t="shared" si="13"/>
        <v/>
      </c>
      <c r="N28" s="11" t="str">
        <f t="shared" si="14"/>
        <v/>
      </c>
    </row>
    <row r="29" spans="3:14">
      <c r="C29" s="188"/>
      <c r="G29" s="79"/>
      <c r="H29" s="193">
        <v>0.19</v>
      </c>
      <c r="I29" s="54">
        <f t="shared" si="10"/>
        <v>0</v>
      </c>
      <c r="J29" s="54">
        <f t="shared" si="11"/>
        <v>0</v>
      </c>
      <c r="L29" s="11" t="str">
        <f t="shared" si="12"/>
        <v/>
      </c>
      <c r="M29" s="11" t="str">
        <f t="shared" si="13"/>
        <v/>
      </c>
      <c r="N29" s="11" t="str">
        <f t="shared" si="14"/>
        <v/>
      </c>
    </row>
    <row r="30" spans="3:14">
      <c r="C30" s="188"/>
      <c r="G30" s="79"/>
      <c r="H30" s="193">
        <v>0.19</v>
      </c>
      <c r="I30" s="54">
        <f t="shared" si="10"/>
        <v>0</v>
      </c>
      <c r="J30" s="54">
        <f t="shared" si="11"/>
        <v>0</v>
      </c>
      <c r="L30" s="11" t="str">
        <f t="shared" si="12"/>
        <v/>
      </c>
      <c r="M30" s="11" t="str">
        <f t="shared" si="13"/>
        <v/>
      </c>
      <c r="N30" s="11" t="str">
        <f t="shared" si="14"/>
        <v/>
      </c>
    </row>
    <row r="31" spans="3:14">
      <c r="C31" s="188"/>
      <c r="G31" s="79"/>
      <c r="H31" s="193">
        <v>0.19</v>
      </c>
      <c r="I31" s="54">
        <f t="shared" si="10"/>
        <v>0</v>
      </c>
      <c r="J31" s="54">
        <f t="shared" si="11"/>
        <v>0</v>
      </c>
      <c r="L31" s="11" t="str">
        <f t="shared" si="12"/>
        <v/>
      </c>
      <c r="M31" s="11" t="str">
        <f t="shared" si="13"/>
        <v/>
      </c>
      <c r="N31" s="11" t="str">
        <f t="shared" si="14"/>
        <v/>
      </c>
    </row>
    <row r="32" spans="3:14">
      <c r="C32" s="188"/>
      <c r="G32" s="79"/>
      <c r="H32" s="193">
        <v>0.19</v>
      </c>
      <c r="I32" s="54">
        <f t="shared" si="10"/>
        <v>0</v>
      </c>
      <c r="J32" s="54">
        <f t="shared" si="11"/>
        <v>0</v>
      </c>
      <c r="L32" s="11" t="str">
        <f t="shared" si="12"/>
        <v/>
      </c>
      <c r="M32" s="11" t="str">
        <f t="shared" si="13"/>
        <v/>
      </c>
      <c r="N32" s="11" t="str">
        <f t="shared" si="14"/>
        <v/>
      </c>
    </row>
    <row r="33" spans="3:14">
      <c r="C33" s="188"/>
      <c r="G33" s="79"/>
      <c r="H33" s="193">
        <v>0.19</v>
      </c>
      <c r="I33" s="54">
        <f t="shared" si="10"/>
        <v>0</v>
      </c>
      <c r="J33" s="54">
        <f t="shared" si="11"/>
        <v>0</v>
      </c>
      <c r="L33" s="11" t="str">
        <f t="shared" si="12"/>
        <v/>
      </c>
      <c r="M33" s="11" t="str">
        <f t="shared" si="13"/>
        <v/>
      </c>
      <c r="N33" s="11" t="str">
        <f t="shared" si="14"/>
        <v/>
      </c>
    </row>
    <row r="34" spans="3:14">
      <c r="C34" s="188"/>
      <c r="G34" s="79"/>
      <c r="H34" s="193">
        <v>0.19</v>
      </c>
      <c r="I34" s="54">
        <f t="shared" si="10"/>
        <v>0</v>
      </c>
      <c r="J34" s="54">
        <f t="shared" si="11"/>
        <v>0</v>
      </c>
      <c r="L34" s="11" t="str">
        <f t="shared" si="12"/>
        <v/>
      </c>
      <c r="M34" s="11" t="str">
        <f t="shared" si="13"/>
        <v/>
      </c>
      <c r="N34" s="11" t="str">
        <f t="shared" si="14"/>
        <v/>
      </c>
    </row>
    <row r="35" spans="3:14">
      <c r="C35" s="188"/>
      <c r="G35" s="79"/>
      <c r="H35" s="193">
        <v>0.19</v>
      </c>
      <c r="I35" s="54">
        <f t="shared" si="10"/>
        <v>0</v>
      </c>
      <c r="J35" s="54">
        <f t="shared" si="11"/>
        <v>0</v>
      </c>
      <c r="L35" s="11" t="str">
        <f t="shared" si="12"/>
        <v/>
      </c>
      <c r="M35" s="11" t="str">
        <f t="shared" si="13"/>
        <v/>
      </c>
      <c r="N35" s="11" t="str">
        <f t="shared" si="14"/>
        <v/>
      </c>
    </row>
    <row r="36" spans="3:14">
      <c r="C36" s="188"/>
      <c r="G36" s="79"/>
      <c r="H36" s="193">
        <v>0.19</v>
      </c>
      <c r="I36" s="54">
        <f t="shared" si="10"/>
        <v>0</v>
      </c>
      <c r="J36" s="54">
        <f t="shared" si="11"/>
        <v>0</v>
      </c>
      <c r="L36" s="11" t="str">
        <f t="shared" si="12"/>
        <v/>
      </c>
      <c r="M36" s="11" t="str">
        <f t="shared" si="13"/>
        <v/>
      </c>
      <c r="N36" s="11" t="str">
        <f t="shared" si="14"/>
        <v/>
      </c>
    </row>
    <row r="37" spans="3:14">
      <c r="C37" s="188"/>
      <c r="G37" s="79"/>
      <c r="H37" s="193">
        <v>0.19</v>
      </c>
      <c r="I37" s="54">
        <f t="shared" si="10"/>
        <v>0</v>
      </c>
      <c r="J37" s="54">
        <f t="shared" si="11"/>
        <v>0</v>
      </c>
      <c r="L37" s="11" t="str">
        <f t="shared" si="12"/>
        <v/>
      </c>
      <c r="M37" s="11" t="str">
        <f t="shared" si="13"/>
        <v/>
      </c>
      <c r="N37" s="11" t="str">
        <f t="shared" si="14"/>
        <v/>
      </c>
    </row>
    <row r="38" spans="3:14">
      <c r="C38" s="188"/>
      <c r="G38" s="79"/>
      <c r="H38" s="193">
        <v>0.19</v>
      </c>
      <c r="I38" s="54">
        <f t="shared" si="10"/>
        <v>0</v>
      </c>
      <c r="J38" s="54">
        <f t="shared" si="11"/>
        <v>0</v>
      </c>
      <c r="L38" s="11" t="str">
        <f t="shared" si="12"/>
        <v/>
      </c>
      <c r="M38" s="11" t="str">
        <f t="shared" si="13"/>
        <v/>
      </c>
      <c r="N38" s="11" t="str">
        <f t="shared" si="14"/>
        <v/>
      </c>
    </row>
    <row r="39" spans="3:14">
      <c r="C39" s="188"/>
      <c r="G39" s="79"/>
      <c r="H39" s="193">
        <v>0.19</v>
      </c>
      <c r="I39" s="54">
        <f t="shared" si="10"/>
        <v>0</v>
      </c>
      <c r="J39" s="54">
        <f t="shared" si="11"/>
        <v>0</v>
      </c>
      <c r="L39" s="11" t="str">
        <f t="shared" si="12"/>
        <v/>
      </c>
      <c r="M39" s="11" t="str">
        <f t="shared" si="13"/>
        <v/>
      </c>
      <c r="N39" s="11" t="str">
        <f t="shared" si="14"/>
        <v/>
      </c>
    </row>
    <row r="40" spans="3:14">
      <c r="C40" s="188"/>
      <c r="G40" s="79"/>
      <c r="H40" s="193">
        <v>0.19</v>
      </c>
      <c r="I40" s="54">
        <f t="shared" si="10"/>
        <v>0</v>
      </c>
      <c r="J40" s="54">
        <f t="shared" si="11"/>
        <v>0</v>
      </c>
      <c r="L40" s="11" t="str">
        <f t="shared" si="12"/>
        <v/>
      </c>
      <c r="M40" s="11" t="str">
        <f t="shared" si="13"/>
        <v/>
      </c>
      <c r="N40" s="11" t="str">
        <f t="shared" si="14"/>
        <v/>
      </c>
    </row>
    <row r="41" spans="3:14">
      <c r="C41" s="188"/>
      <c r="G41" s="79"/>
      <c r="H41" s="193">
        <v>0.19</v>
      </c>
      <c r="I41" s="54">
        <f t="shared" si="10"/>
        <v>0</v>
      </c>
      <c r="J41" s="54">
        <f t="shared" si="11"/>
        <v>0</v>
      </c>
      <c r="L41" s="11" t="str">
        <f t="shared" si="12"/>
        <v/>
      </c>
      <c r="M41" s="11" t="str">
        <f t="shared" si="13"/>
        <v/>
      </c>
      <c r="N41" s="11" t="str">
        <f t="shared" si="14"/>
        <v/>
      </c>
    </row>
    <row r="42" spans="3:14">
      <c r="C42" s="188"/>
      <c r="G42" s="79"/>
      <c r="H42" s="193">
        <v>0.19</v>
      </c>
      <c r="I42" s="54">
        <f t="shared" si="10"/>
        <v>0</v>
      </c>
      <c r="J42" s="54">
        <f t="shared" si="11"/>
        <v>0</v>
      </c>
      <c r="L42" s="11" t="str">
        <f t="shared" si="12"/>
        <v/>
      </c>
      <c r="M42" s="11" t="str">
        <f t="shared" si="13"/>
        <v/>
      </c>
      <c r="N42" s="11" t="str">
        <f t="shared" si="14"/>
        <v/>
      </c>
    </row>
    <row r="43" spans="3:14">
      <c r="C43" s="188"/>
      <c r="G43" s="79"/>
      <c r="H43" s="193">
        <v>0.19</v>
      </c>
      <c r="I43" s="54">
        <f t="shared" si="10"/>
        <v>0</v>
      </c>
      <c r="J43" s="54">
        <f t="shared" si="11"/>
        <v>0</v>
      </c>
      <c r="L43" s="11" t="str">
        <f t="shared" si="12"/>
        <v/>
      </c>
      <c r="M43" s="11" t="str">
        <f t="shared" si="13"/>
        <v/>
      </c>
      <c r="N43" s="11" t="str">
        <f t="shared" si="14"/>
        <v/>
      </c>
    </row>
    <row r="44" spans="3:14">
      <c r="C44" s="188"/>
      <c r="G44" s="79"/>
      <c r="H44" s="193">
        <v>0.19</v>
      </c>
      <c r="I44" s="54">
        <f t="shared" si="10"/>
        <v>0</v>
      </c>
      <c r="J44" s="54">
        <f t="shared" si="11"/>
        <v>0</v>
      </c>
      <c r="L44" s="11" t="str">
        <f t="shared" si="12"/>
        <v/>
      </c>
      <c r="M44" s="11" t="str">
        <f t="shared" si="13"/>
        <v/>
      </c>
      <c r="N44" s="11" t="str">
        <f t="shared" si="14"/>
        <v/>
      </c>
    </row>
    <row r="45" spans="3:14">
      <c r="C45" s="188"/>
      <c r="G45" s="79"/>
      <c r="H45" s="193">
        <v>0.19</v>
      </c>
      <c r="I45" s="54">
        <f t="shared" si="10"/>
        <v>0</v>
      </c>
      <c r="J45" s="54">
        <f t="shared" si="11"/>
        <v>0</v>
      </c>
      <c r="L45" s="11" t="str">
        <f t="shared" si="12"/>
        <v/>
      </c>
      <c r="M45" s="11" t="str">
        <f t="shared" si="13"/>
        <v/>
      </c>
      <c r="N45" s="11" t="str">
        <f t="shared" si="14"/>
        <v/>
      </c>
    </row>
    <row r="46" spans="3:14">
      <c r="C46" s="188"/>
      <c r="G46" s="79"/>
      <c r="H46" s="193">
        <v>0.19</v>
      </c>
      <c r="I46" s="54">
        <f t="shared" si="10"/>
        <v>0</v>
      </c>
      <c r="J46" s="54">
        <f t="shared" si="11"/>
        <v>0</v>
      </c>
      <c r="L46" s="11" t="str">
        <f t="shared" si="12"/>
        <v/>
      </c>
      <c r="M46" s="11" t="str">
        <f t="shared" si="13"/>
        <v/>
      </c>
      <c r="N46" s="11" t="str">
        <f t="shared" si="14"/>
        <v/>
      </c>
    </row>
    <row r="47" spans="3:14">
      <c r="C47" s="188"/>
      <c r="G47" s="79"/>
      <c r="H47" s="193">
        <v>0.19</v>
      </c>
      <c r="I47" s="54">
        <f t="shared" si="10"/>
        <v>0</v>
      </c>
      <c r="J47" s="54">
        <f t="shared" si="11"/>
        <v>0</v>
      </c>
      <c r="L47" s="11" t="str">
        <f t="shared" si="12"/>
        <v/>
      </c>
      <c r="M47" s="11" t="str">
        <f t="shared" si="13"/>
        <v/>
      </c>
      <c r="N47" s="11" t="str">
        <f t="shared" si="14"/>
        <v/>
      </c>
    </row>
    <row r="48" spans="3:14">
      <c r="C48" s="188"/>
      <c r="G48" s="79"/>
      <c r="H48" s="193">
        <v>0.19</v>
      </c>
      <c r="I48" s="54">
        <f t="shared" si="10"/>
        <v>0</v>
      </c>
      <c r="J48" s="54">
        <f t="shared" si="11"/>
        <v>0</v>
      </c>
      <c r="L48" s="11" t="str">
        <f t="shared" si="12"/>
        <v/>
      </c>
      <c r="M48" s="11" t="str">
        <f t="shared" si="13"/>
        <v/>
      </c>
      <c r="N48" s="11" t="str">
        <f t="shared" si="14"/>
        <v/>
      </c>
    </row>
    <row r="49" spans="3:14">
      <c r="C49" s="188"/>
      <c r="G49" s="79"/>
      <c r="H49" s="193">
        <v>0.19</v>
      </c>
      <c r="I49" s="54">
        <f t="shared" si="10"/>
        <v>0</v>
      </c>
      <c r="J49" s="54">
        <f t="shared" si="11"/>
        <v>0</v>
      </c>
      <c r="L49" s="11" t="str">
        <f t="shared" si="12"/>
        <v/>
      </c>
      <c r="M49" s="11" t="str">
        <f t="shared" si="13"/>
        <v/>
      </c>
      <c r="N49" s="11" t="str">
        <f t="shared" si="14"/>
        <v/>
      </c>
    </row>
    <row r="50" spans="3:14">
      <c r="C50" s="188"/>
      <c r="G50" s="79"/>
      <c r="H50" s="193">
        <v>0.19</v>
      </c>
      <c r="I50" s="54">
        <f t="shared" si="10"/>
        <v>0</v>
      </c>
      <c r="J50" s="54">
        <f t="shared" si="11"/>
        <v>0</v>
      </c>
      <c r="L50" s="11" t="str">
        <f t="shared" si="12"/>
        <v/>
      </c>
      <c r="M50" s="11" t="str">
        <f t="shared" si="13"/>
        <v/>
      </c>
      <c r="N50" s="11" t="str">
        <f t="shared" si="14"/>
        <v/>
      </c>
    </row>
    <row r="51" spans="3:14">
      <c r="C51" s="188"/>
      <c r="G51" s="79"/>
      <c r="H51" s="193">
        <v>0.19</v>
      </c>
      <c r="I51" s="54">
        <f t="shared" si="10"/>
        <v>0</v>
      </c>
      <c r="J51" s="54">
        <f t="shared" si="11"/>
        <v>0</v>
      </c>
      <c r="L51" s="11" t="str">
        <f t="shared" si="12"/>
        <v/>
      </c>
      <c r="M51" s="11" t="str">
        <f t="shared" si="13"/>
        <v/>
      </c>
      <c r="N51" s="11" t="str">
        <f t="shared" si="14"/>
        <v/>
      </c>
    </row>
    <row r="52" spans="3:14">
      <c r="C52" s="188"/>
      <c r="G52" s="79"/>
      <c r="H52" s="193">
        <v>0.19</v>
      </c>
      <c r="I52" s="54">
        <f t="shared" si="10"/>
        <v>0</v>
      </c>
      <c r="J52" s="54">
        <f t="shared" si="11"/>
        <v>0</v>
      </c>
      <c r="L52" s="11" t="str">
        <f t="shared" si="12"/>
        <v/>
      </c>
      <c r="M52" s="11" t="str">
        <f t="shared" si="13"/>
        <v/>
      </c>
      <c r="N52" s="11" t="str">
        <f t="shared" si="14"/>
        <v/>
      </c>
    </row>
    <row r="53" spans="3:14">
      <c r="C53" s="188"/>
      <c r="G53" s="79"/>
      <c r="H53" s="193">
        <v>0.19</v>
      </c>
      <c r="I53" s="54">
        <f t="shared" si="10"/>
        <v>0</v>
      </c>
      <c r="J53" s="54">
        <f t="shared" si="11"/>
        <v>0</v>
      </c>
      <c r="L53" s="11" t="str">
        <f t="shared" si="12"/>
        <v/>
      </c>
      <c r="M53" s="11" t="str">
        <f t="shared" si="13"/>
        <v/>
      </c>
      <c r="N53" s="11" t="str">
        <f t="shared" si="14"/>
        <v/>
      </c>
    </row>
    <row r="54" spans="3:14">
      <c r="C54" s="188"/>
      <c r="G54" s="79"/>
      <c r="H54" s="193">
        <v>0.19</v>
      </c>
      <c r="I54" s="54">
        <f t="shared" si="10"/>
        <v>0</v>
      </c>
      <c r="J54" s="54">
        <f t="shared" si="11"/>
        <v>0</v>
      </c>
      <c r="L54" s="11" t="str">
        <f t="shared" ref="L54:L85" si="15">IF(C54="","",MONTH(C54))</f>
        <v/>
      </c>
      <c r="M54" s="11" t="str">
        <f t="shared" ref="M54:M85" si="16">IF(C54="","",YEAR(C54))</f>
        <v/>
      </c>
      <c r="N54" s="11" t="str">
        <f t="shared" ref="N54:N85" si="17">IF(C54="","",DAY(C54))</f>
        <v/>
      </c>
    </row>
    <row r="55" spans="3:14">
      <c r="C55" s="188"/>
      <c r="G55" s="79"/>
      <c r="H55" s="193">
        <v>0.19</v>
      </c>
      <c r="I55" s="54">
        <f t="shared" si="10"/>
        <v>0</v>
      </c>
      <c r="J55" s="54">
        <f t="shared" si="11"/>
        <v>0</v>
      </c>
      <c r="L55" s="11" t="str">
        <f t="shared" si="15"/>
        <v/>
      </c>
      <c r="M55" s="11" t="str">
        <f t="shared" si="16"/>
        <v/>
      </c>
      <c r="N55" s="11" t="str">
        <f t="shared" si="17"/>
        <v/>
      </c>
    </row>
    <row r="56" spans="3:14">
      <c r="C56" s="188"/>
      <c r="G56" s="79"/>
      <c r="H56" s="193">
        <v>0.19</v>
      </c>
      <c r="I56" s="54">
        <f t="shared" si="10"/>
        <v>0</v>
      </c>
      <c r="J56" s="54">
        <f t="shared" si="11"/>
        <v>0</v>
      </c>
      <c r="L56" s="11" t="str">
        <f t="shared" si="15"/>
        <v/>
      </c>
      <c r="M56" s="11" t="str">
        <f t="shared" si="16"/>
        <v/>
      </c>
      <c r="N56" s="11" t="str">
        <f t="shared" si="17"/>
        <v/>
      </c>
    </row>
    <row r="57" spans="3:14">
      <c r="C57" s="188"/>
      <c r="G57" s="79"/>
      <c r="H57" s="193">
        <v>0.19</v>
      </c>
      <c r="I57" s="54">
        <f t="shared" si="10"/>
        <v>0</v>
      </c>
      <c r="J57" s="54">
        <f t="shared" si="11"/>
        <v>0</v>
      </c>
      <c r="L57" s="11" t="str">
        <f t="shared" si="15"/>
        <v/>
      </c>
      <c r="M57" s="11" t="str">
        <f t="shared" si="16"/>
        <v/>
      </c>
      <c r="N57" s="11" t="str">
        <f t="shared" si="17"/>
        <v/>
      </c>
    </row>
    <row r="58" spans="3:14">
      <c r="C58" s="188"/>
      <c r="G58" s="79"/>
      <c r="H58" s="193">
        <v>0.19</v>
      </c>
      <c r="I58" s="54">
        <f t="shared" si="10"/>
        <v>0</v>
      </c>
      <c r="J58" s="54">
        <f t="shared" si="11"/>
        <v>0</v>
      </c>
      <c r="L58" s="11" t="str">
        <f t="shared" si="15"/>
        <v/>
      </c>
      <c r="M58" s="11" t="str">
        <f t="shared" si="16"/>
        <v/>
      </c>
      <c r="N58" s="11" t="str">
        <f t="shared" si="17"/>
        <v/>
      </c>
    </row>
    <row r="59" spans="3:14">
      <c r="C59" s="188"/>
      <c r="G59" s="79"/>
      <c r="H59" s="193">
        <v>0.19</v>
      </c>
      <c r="I59" s="54">
        <f t="shared" si="10"/>
        <v>0</v>
      </c>
      <c r="J59" s="54">
        <f t="shared" si="11"/>
        <v>0</v>
      </c>
      <c r="L59" s="11" t="str">
        <f t="shared" si="15"/>
        <v/>
      </c>
      <c r="M59" s="11" t="str">
        <f t="shared" si="16"/>
        <v/>
      </c>
      <c r="N59" s="11" t="str">
        <f t="shared" si="17"/>
        <v/>
      </c>
    </row>
    <row r="60" spans="3:14">
      <c r="C60" s="188"/>
      <c r="G60" s="79"/>
      <c r="H60" s="193">
        <v>0.19</v>
      </c>
      <c r="I60" s="54">
        <f t="shared" si="10"/>
        <v>0</v>
      </c>
      <c r="J60" s="54">
        <f t="shared" si="11"/>
        <v>0</v>
      </c>
      <c r="L60" s="11" t="str">
        <f t="shared" si="15"/>
        <v/>
      </c>
      <c r="M60" s="11" t="str">
        <f t="shared" si="16"/>
        <v/>
      </c>
      <c r="N60" s="11" t="str">
        <f t="shared" si="17"/>
        <v/>
      </c>
    </row>
    <row r="61" spans="3:14">
      <c r="C61" s="188"/>
      <c r="G61" s="79"/>
      <c r="H61" s="193">
        <v>0.19</v>
      </c>
      <c r="I61" s="54">
        <f t="shared" si="10"/>
        <v>0</v>
      </c>
      <c r="J61" s="54">
        <f t="shared" si="11"/>
        <v>0</v>
      </c>
      <c r="L61" s="11" t="str">
        <f t="shared" si="15"/>
        <v/>
      </c>
      <c r="M61" s="11" t="str">
        <f t="shared" si="16"/>
        <v/>
      </c>
      <c r="N61" s="11" t="str">
        <f t="shared" si="17"/>
        <v/>
      </c>
    </row>
    <row r="62" spans="3:14">
      <c r="C62" s="188"/>
      <c r="G62" s="79"/>
      <c r="H62" s="193">
        <v>0.19</v>
      </c>
      <c r="I62" s="54">
        <f t="shared" si="10"/>
        <v>0</v>
      </c>
      <c r="J62" s="54">
        <f t="shared" si="11"/>
        <v>0</v>
      </c>
      <c r="L62" s="11" t="str">
        <f t="shared" si="15"/>
        <v/>
      </c>
      <c r="M62" s="11" t="str">
        <f t="shared" si="16"/>
        <v/>
      </c>
      <c r="N62" s="11" t="str">
        <f t="shared" si="17"/>
        <v/>
      </c>
    </row>
    <row r="63" spans="3:14">
      <c r="C63" s="188"/>
      <c r="G63" s="79"/>
      <c r="H63" s="193">
        <v>0.19</v>
      </c>
      <c r="I63" s="54">
        <f t="shared" si="10"/>
        <v>0</v>
      </c>
      <c r="J63" s="54">
        <f t="shared" si="11"/>
        <v>0</v>
      </c>
      <c r="L63" s="11" t="str">
        <f t="shared" si="15"/>
        <v/>
      </c>
      <c r="M63" s="11" t="str">
        <f t="shared" si="16"/>
        <v/>
      </c>
      <c r="N63" s="11" t="str">
        <f t="shared" si="17"/>
        <v/>
      </c>
    </row>
    <row r="64" spans="3:14">
      <c r="C64" s="188"/>
      <c r="G64" s="79"/>
      <c r="H64" s="193">
        <v>0.19</v>
      </c>
      <c r="I64" s="54">
        <f t="shared" si="10"/>
        <v>0</v>
      </c>
      <c r="J64" s="54">
        <f t="shared" si="11"/>
        <v>0</v>
      </c>
      <c r="L64" s="11" t="str">
        <f t="shared" si="15"/>
        <v/>
      </c>
      <c r="M64" s="11" t="str">
        <f t="shared" si="16"/>
        <v/>
      </c>
      <c r="N64" s="11" t="str">
        <f t="shared" si="17"/>
        <v/>
      </c>
    </row>
    <row r="65" spans="3:14">
      <c r="C65" s="188"/>
      <c r="G65" s="79"/>
      <c r="H65" s="193">
        <v>0.19</v>
      </c>
      <c r="I65" s="54">
        <f t="shared" si="10"/>
        <v>0</v>
      </c>
      <c r="J65" s="54">
        <f t="shared" si="11"/>
        <v>0</v>
      </c>
      <c r="L65" s="11" t="str">
        <f t="shared" si="15"/>
        <v/>
      </c>
      <c r="M65" s="11" t="str">
        <f t="shared" si="16"/>
        <v/>
      </c>
      <c r="N65" s="11" t="str">
        <f t="shared" si="17"/>
        <v/>
      </c>
    </row>
    <row r="66" spans="3:14">
      <c r="C66" s="188"/>
      <c r="G66" s="79"/>
      <c r="H66" s="193">
        <v>0.19</v>
      </c>
      <c r="I66" s="54">
        <f t="shared" si="10"/>
        <v>0</v>
      </c>
      <c r="J66" s="54">
        <f t="shared" si="11"/>
        <v>0</v>
      </c>
      <c r="L66" s="11" t="str">
        <f t="shared" si="15"/>
        <v/>
      </c>
      <c r="M66" s="11" t="str">
        <f t="shared" si="16"/>
        <v/>
      </c>
      <c r="N66" s="11" t="str">
        <f t="shared" si="17"/>
        <v/>
      </c>
    </row>
    <row r="67" spans="3:14">
      <c r="C67" s="188"/>
      <c r="G67" s="79"/>
      <c r="H67" s="193">
        <v>0.19</v>
      </c>
      <c r="I67" s="54">
        <f t="shared" si="10"/>
        <v>0</v>
      </c>
      <c r="J67" s="54">
        <f t="shared" si="11"/>
        <v>0</v>
      </c>
      <c r="L67" s="11" t="str">
        <f t="shared" si="15"/>
        <v/>
      </c>
      <c r="M67" s="11" t="str">
        <f t="shared" si="16"/>
        <v/>
      </c>
      <c r="N67" s="11" t="str">
        <f t="shared" si="17"/>
        <v/>
      </c>
    </row>
    <row r="68" spans="3:14">
      <c r="C68" s="188"/>
      <c r="G68" s="79"/>
      <c r="H68" s="193">
        <v>0.19</v>
      </c>
      <c r="I68" s="54">
        <f t="shared" si="10"/>
        <v>0</v>
      </c>
      <c r="J68" s="54">
        <f t="shared" si="11"/>
        <v>0</v>
      </c>
      <c r="L68" s="11" t="str">
        <f t="shared" si="15"/>
        <v/>
      </c>
      <c r="M68" s="11" t="str">
        <f t="shared" si="16"/>
        <v/>
      </c>
      <c r="N68" s="11" t="str">
        <f t="shared" si="17"/>
        <v/>
      </c>
    </row>
    <row r="69" spans="3:14">
      <c r="C69" s="188"/>
      <c r="G69" s="79"/>
      <c r="H69" s="193">
        <v>0.19</v>
      </c>
      <c r="I69" s="54">
        <f t="shared" si="10"/>
        <v>0</v>
      </c>
      <c r="J69" s="54">
        <f t="shared" si="11"/>
        <v>0</v>
      </c>
      <c r="L69" s="11" t="str">
        <f t="shared" si="15"/>
        <v/>
      </c>
      <c r="M69" s="11" t="str">
        <f t="shared" si="16"/>
        <v/>
      </c>
      <c r="N69" s="11" t="str">
        <f t="shared" si="17"/>
        <v/>
      </c>
    </row>
    <row r="70" spans="3:14">
      <c r="C70" s="188"/>
      <c r="G70" s="79"/>
      <c r="H70" s="193">
        <v>0.19</v>
      </c>
      <c r="I70" s="54">
        <f t="shared" si="10"/>
        <v>0</v>
      </c>
      <c r="J70" s="54">
        <f t="shared" si="11"/>
        <v>0</v>
      </c>
      <c r="L70" s="11" t="str">
        <f t="shared" si="15"/>
        <v/>
      </c>
      <c r="M70" s="11" t="str">
        <f t="shared" si="16"/>
        <v/>
      </c>
      <c r="N70" s="11" t="str">
        <f t="shared" si="17"/>
        <v/>
      </c>
    </row>
    <row r="71" spans="3:14">
      <c r="C71" s="188"/>
      <c r="G71" s="79"/>
      <c r="H71" s="193">
        <v>0.19</v>
      </c>
      <c r="I71" s="54">
        <f t="shared" si="10"/>
        <v>0</v>
      </c>
      <c r="J71" s="54">
        <f t="shared" si="11"/>
        <v>0</v>
      </c>
      <c r="L71" s="11" t="str">
        <f t="shared" si="15"/>
        <v/>
      </c>
      <c r="M71" s="11" t="str">
        <f t="shared" si="16"/>
        <v/>
      </c>
      <c r="N71" s="11" t="str">
        <f t="shared" si="17"/>
        <v/>
      </c>
    </row>
    <row r="72" spans="3:14">
      <c r="C72" s="188"/>
      <c r="G72" s="79"/>
      <c r="H72" s="193">
        <v>0.19</v>
      </c>
      <c r="I72" s="54">
        <f t="shared" si="10"/>
        <v>0</v>
      </c>
      <c r="J72" s="54">
        <f t="shared" si="11"/>
        <v>0</v>
      </c>
      <c r="L72" s="11" t="str">
        <f t="shared" si="15"/>
        <v/>
      </c>
      <c r="M72" s="11" t="str">
        <f t="shared" si="16"/>
        <v/>
      </c>
      <c r="N72" s="11" t="str">
        <f t="shared" si="17"/>
        <v/>
      </c>
    </row>
    <row r="73" spans="3:14">
      <c r="C73" s="188"/>
      <c r="G73" s="79"/>
      <c r="H73" s="193">
        <v>0.19</v>
      </c>
      <c r="I73" s="54">
        <f t="shared" si="10"/>
        <v>0</v>
      </c>
      <c r="J73" s="54">
        <f t="shared" si="11"/>
        <v>0</v>
      </c>
      <c r="L73" s="11" t="str">
        <f t="shared" si="15"/>
        <v/>
      </c>
      <c r="M73" s="11" t="str">
        <f t="shared" si="16"/>
        <v/>
      </c>
      <c r="N73" s="11" t="str">
        <f t="shared" si="17"/>
        <v/>
      </c>
    </row>
    <row r="74" spans="3:14">
      <c r="C74" s="188"/>
      <c r="G74" s="79"/>
      <c r="H74" s="193">
        <v>0.19</v>
      </c>
      <c r="I74" s="54">
        <f t="shared" si="10"/>
        <v>0</v>
      </c>
      <c r="J74" s="54">
        <f t="shared" si="11"/>
        <v>0</v>
      </c>
      <c r="L74" s="11" t="str">
        <f t="shared" si="15"/>
        <v/>
      </c>
      <c r="M74" s="11" t="str">
        <f t="shared" si="16"/>
        <v/>
      </c>
      <c r="N74" s="11" t="str">
        <f t="shared" si="17"/>
        <v/>
      </c>
    </row>
    <row r="75" spans="3:14">
      <c r="C75" s="188"/>
      <c r="G75" s="79"/>
      <c r="H75" s="193">
        <v>0.19</v>
      </c>
      <c r="I75" s="54">
        <f t="shared" si="10"/>
        <v>0</v>
      </c>
      <c r="J75" s="54">
        <f t="shared" si="11"/>
        <v>0</v>
      </c>
      <c r="L75" s="11" t="str">
        <f t="shared" si="15"/>
        <v/>
      </c>
      <c r="M75" s="11" t="str">
        <f t="shared" si="16"/>
        <v/>
      </c>
      <c r="N75" s="11" t="str">
        <f t="shared" si="17"/>
        <v/>
      </c>
    </row>
    <row r="76" spans="3:14">
      <c r="C76" s="188"/>
      <c r="G76" s="79"/>
      <c r="H76" s="193">
        <v>0.19</v>
      </c>
      <c r="I76" s="54">
        <f t="shared" si="10"/>
        <v>0</v>
      </c>
      <c r="J76" s="54">
        <f t="shared" si="11"/>
        <v>0</v>
      </c>
      <c r="L76" s="11" t="str">
        <f t="shared" si="15"/>
        <v/>
      </c>
      <c r="M76" s="11" t="str">
        <f t="shared" si="16"/>
        <v/>
      </c>
      <c r="N76" s="11" t="str">
        <f t="shared" si="17"/>
        <v/>
      </c>
    </row>
    <row r="77" spans="3:14">
      <c r="C77" s="188"/>
      <c r="G77" s="79"/>
      <c r="H77" s="193">
        <v>0.19</v>
      </c>
      <c r="I77" s="54">
        <f t="shared" si="10"/>
        <v>0</v>
      </c>
      <c r="J77" s="54">
        <f t="shared" si="11"/>
        <v>0</v>
      </c>
      <c r="L77" s="11" t="str">
        <f t="shared" si="15"/>
        <v/>
      </c>
      <c r="M77" s="11" t="str">
        <f t="shared" si="16"/>
        <v/>
      </c>
      <c r="N77" s="11" t="str">
        <f t="shared" si="17"/>
        <v/>
      </c>
    </row>
    <row r="78" spans="3:14">
      <c r="C78" s="188"/>
      <c r="G78" s="79"/>
      <c r="H78" s="193">
        <v>0.19</v>
      </c>
      <c r="I78" s="54">
        <f t="shared" si="10"/>
        <v>0</v>
      </c>
      <c r="J78" s="54">
        <f t="shared" si="11"/>
        <v>0</v>
      </c>
      <c r="L78" s="11" t="str">
        <f t="shared" si="15"/>
        <v/>
      </c>
      <c r="M78" s="11" t="str">
        <f t="shared" si="16"/>
        <v/>
      </c>
      <c r="N78" s="11" t="str">
        <f t="shared" si="17"/>
        <v/>
      </c>
    </row>
    <row r="79" spans="3:14">
      <c r="C79" s="188"/>
      <c r="G79" s="79"/>
      <c r="H79" s="193">
        <v>0.19</v>
      </c>
      <c r="I79" s="54">
        <f t="shared" si="10"/>
        <v>0</v>
      </c>
      <c r="J79" s="54">
        <f t="shared" si="11"/>
        <v>0</v>
      </c>
      <c r="L79" s="11" t="str">
        <f t="shared" si="15"/>
        <v/>
      </c>
      <c r="M79" s="11" t="str">
        <f t="shared" si="16"/>
        <v/>
      </c>
      <c r="N79" s="11" t="str">
        <f t="shared" si="17"/>
        <v/>
      </c>
    </row>
    <row r="80" spans="3:14">
      <c r="C80" s="188"/>
      <c r="G80" s="79"/>
      <c r="H80" s="193">
        <v>0.19</v>
      </c>
      <c r="I80" s="54">
        <f t="shared" si="10"/>
        <v>0</v>
      </c>
      <c r="J80" s="54">
        <f t="shared" si="11"/>
        <v>0</v>
      </c>
      <c r="L80" s="11" t="str">
        <f t="shared" si="15"/>
        <v/>
      </c>
      <c r="M80" s="11" t="str">
        <f t="shared" si="16"/>
        <v/>
      </c>
      <c r="N80" s="11" t="str">
        <f t="shared" si="17"/>
        <v/>
      </c>
    </row>
    <row r="81" spans="3:14">
      <c r="C81" s="188"/>
      <c r="G81" s="79"/>
      <c r="H81" s="193">
        <v>0.19</v>
      </c>
      <c r="I81" s="54">
        <f t="shared" si="10"/>
        <v>0</v>
      </c>
      <c r="J81" s="54">
        <f t="shared" si="11"/>
        <v>0</v>
      </c>
      <c r="L81" s="11" t="str">
        <f t="shared" si="15"/>
        <v/>
      </c>
      <c r="M81" s="11" t="str">
        <f t="shared" si="16"/>
        <v/>
      </c>
      <c r="N81" s="11" t="str">
        <f t="shared" si="17"/>
        <v/>
      </c>
    </row>
    <row r="82" spans="3:14">
      <c r="C82" s="188"/>
      <c r="G82" s="79"/>
      <c r="H82" s="193">
        <v>0.19</v>
      </c>
      <c r="I82" s="54">
        <f t="shared" si="10"/>
        <v>0</v>
      </c>
      <c r="J82" s="54">
        <f t="shared" si="11"/>
        <v>0</v>
      </c>
      <c r="L82" s="11" t="str">
        <f t="shared" si="15"/>
        <v/>
      </c>
      <c r="M82" s="11" t="str">
        <f t="shared" si="16"/>
        <v/>
      </c>
      <c r="N82" s="11" t="str">
        <f t="shared" si="17"/>
        <v/>
      </c>
    </row>
    <row r="83" spans="3:14">
      <c r="C83" s="188"/>
      <c r="G83" s="79"/>
      <c r="H83" s="193">
        <v>0.19</v>
      </c>
      <c r="I83" s="54">
        <f t="shared" si="10"/>
        <v>0</v>
      </c>
      <c r="J83" s="54">
        <f t="shared" si="11"/>
        <v>0</v>
      </c>
      <c r="L83" s="11" t="str">
        <f t="shared" si="15"/>
        <v/>
      </c>
      <c r="M83" s="11" t="str">
        <f t="shared" si="16"/>
        <v/>
      </c>
      <c r="N83" s="11" t="str">
        <f t="shared" si="17"/>
        <v/>
      </c>
    </row>
    <row r="84" spans="3:14">
      <c r="C84" s="188"/>
      <c r="G84" s="79"/>
      <c r="H84" s="193">
        <v>0.19</v>
      </c>
      <c r="I84" s="54">
        <f t="shared" si="10"/>
        <v>0</v>
      </c>
      <c r="J84" s="54">
        <f t="shared" si="11"/>
        <v>0</v>
      </c>
      <c r="L84" s="11" t="str">
        <f t="shared" si="15"/>
        <v/>
      </c>
      <c r="M84" s="11" t="str">
        <f t="shared" si="16"/>
        <v/>
      </c>
      <c r="N84" s="11" t="str">
        <f t="shared" si="17"/>
        <v/>
      </c>
    </row>
    <row r="85" spans="3:14">
      <c r="C85" s="188"/>
      <c r="G85" s="79"/>
      <c r="H85" s="193">
        <v>0.19</v>
      </c>
      <c r="I85" s="54">
        <f t="shared" si="10"/>
        <v>0</v>
      </c>
      <c r="J85" s="54">
        <f t="shared" si="11"/>
        <v>0</v>
      </c>
      <c r="L85" s="11" t="str">
        <f t="shared" si="15"/>
        <v/>
      </c>
      <c r="M85" s="11" t="str">
        <f t="shared" si="16"/>
        <v/>
      </c>
      <c r="N85" s="11" t="str">
        <f t="shared" si="17"/>
        <v/>
      </c>
    </row>
    <row r="86" spans="3:14">
      <c r="C86" s="188"/>
      <c r="G86" s="79"/>
      <c r="H86" s="193">
        <v>0.19</v>
      </c>
      <c r="I86" s="54">
        <f t="shared" ref="I86:I133" si="18">G86 - (G86 / (1 + H86))</f>
        <v>0</v>
      </c>
      <c r="J86" s="54">
        <f t="shared" ref="J86:J133" si="19">G86 / (1 + H86)</f>
        <v>0</v>
      </c>
      <c r="L86" s="11" t="str">
        <f t="shared" ref="L86:L117" si="20">IF(C86="","",MONTH(C86))</f>
        <v/>
      </c>
      <c r="M86" s="11" t="str">
        <f t="shared" ref="M86:M117" si="21">IF(C86="","",YEAR(C86))</f>
        <v/>
      </c>
      <c r="N86" s="11" t="str">
        <f t="shared" ref="N86:N117" si="22">IF(C86="","",DAY(C86))</f>
        <v/>
      </c>
    </row>
    <row r="87" spans="3:14">
      <c r="C87" s="188"/>
      <c r="G87" s="79"/>
      <c r="H87" s="193">
        <v>0.19</v>
      </c>
      <c r="I87" s="54">
        <f t="shared" si="18"/>
        <v>0</v>
      </c>
      <c r="J87" s="54">
        <f t="shared" si="19"/>
        <v>0</v>
      </c>
      <c r="L87" s="11" t="str">
        <f t="shared" si="20"/>
        <v/>
      </c>
      <c r="M87" s="11" t="str">
        <f t="shared" si="21"/>
        <v/>
      </c>
      <c r="N87" s="11" t="str">
        <f t="shared" si="22"/>
        <v/>
      </c>
    </row>
    <row r="88" spans="3:14">
      <c r="C88" s="188"/>
      <c r="G88" s="79"/>
      <c r="H88" s="193">
        <v>0.19</v>
      </c>
      <c r="I88" s="54">
        <f t="shared" si="18"/>
        <v>0</v>
      </c>
      <c r="J88" s="54">
        <f t="shared" si="19"/>
        <v>0</v>
      </c>
      <c r="L88" s="11" t="str">
        <f t="shared" si="20"/>
        <v/>
      </c>
      <c r="M88" s="11" t="str">
        <f t="shared" si="21"/>
        <v/>
      </c>
      <c r="N88" s="11" t="str">
        <f t="shared" si="22"/>
        <v/>
      </c>
    </row>
    <row r="89" spans="3:14">
      <c r="C89" s="188"/>
      <c r="G89" s="79"/>
      <c r="H89" s="193">
        <v>0.19</v>
      </c>
      <c r="I89" s="54">
        <f t="shared" si="18"/>
        <v>0</v>
      </c>
      <c r="J89" s="54">
        <f t="shared" si="19"/>
        <v>0</v>
      </c>
      <c r="L89" s="11" t="str">
        <f t="shared" si="20"/>
        <v/>
      </c>
      <c r="M89" s="11" t="str">
        <f t="shared" si="21"/>
        <v/>
      </c>
      <c r="N89" s="11" t="str">
        <f t="shared" si="22"/>
        <v/>
      </c>
    </row>
    <row r="90" spans="3:14">
      <c r="C90" s="188"/>
      <c r="G90" s="79"/>
      <c r="H90" s="193">
        <v>0.19</v>
      </c>
      <c r="I90" s="54">
        <f t="shared" si="18"/>
        <v>0</v>
      </c>
      <c r="J90" s="54">
        <f t="shared" si="19"/>
        <v>0</v>
      </c>
      <c r="L90" s="11" t="str">
        <f t="shared" si="20"/>
        <v/>
      </c>
      <c r="M90" s="11" t="str">
        <f t="shared" si="21"/>
        <v/>
      </c>
      <c r="N90" s="11" t="str">
        <f t="shared" si="22"/>
        <v/>
      </c>
    </row>
    <row r="91" spans="3:14">
      <c r="C91" s="188"/>
      <c r="G91" s="79"/>
      <c r="H91" s="193">
        <v>0.19</v>
      </c>
      <c r="I91" s="54">
        <f t="shared" si="18"/>
        <v>0</v>
      </c>
      <c r="J91" s="54">
        <f t="shared" si="19"/>
        <v>0</v>
      </c>
      <c r="L91" s="11" t="str">
        <f t="shared" si="20"/>
        <v/>
      </c>
      <c r="M91" s="11" t="str">
        <f t="shared" si="21"/>
        <v/>
      </c>
      <c r="N91" s="11" t="str">
        <f t="shared" si="22"/>
        <v/>
      </c>
    </row>
    <row r="92" spans="3:14">
      <c r="C92" s="188"/>
      <c r="G92" s="79"/>
      <c r="H92" s="193">
        <v>0.19</v>
      </c>
      <c r="I92" s="54">
        <f t="shared" si="18"/>
        <v>0</v>
      </c>
      <c r="J92" s="54">
        <f t="shared" si="19"/>
        <v>0</v>
      </c>
      <c r="L92" s="11" t="str">
        <f t="shared" si="20"/>
        <v/>
      </c>
      <c r="M92" s="11" t="str">
        <f t="shared" si="21"/>
        <v/>
      </c>
      <c r="N92" s="11" t="str">
        <f t="shared" si="22"/>
        <v/>
      </c>
    </row>
    <row r="93" spans="3:14">
      <c r="C93" s="188"/>
      <c r="G93" s="79"/>
      <c r="H93" s="193">
        <v>0.19</v>
      </c>
      <c r="I93" s="54">
        <f t="shared" si="18"/>
        <v>0</v>
      </c>
      <c r="J93" s="54">
        <f t="shared" si="19"/>
        <v>0</v>
      </c>
      <c r="L93" s="11" t="str">
        <f t="shared" si="20"/>
        <v/>
      </c>
      <c r="M93" s="11" t="str">
        <f t="shared" si="21"/>
        <v/>
      </c>
      <c r="N93" s="11" t="str">
        <f t="shared" si="22"/>
        <v/>
      </c>
    </row>
    <row r="94" spans="3:14">
      <c r="C94" s="188"/>
      <c r="G94" s="79"/>
      <c r="H94" s="193">
        <v>0.19</v>
      </c>
      <c r="I94" s="54">
        <f t="shared" si="18"/>
        <v>0</v>
      </c>
      <c r="J94" s="54">
        <f t="shared" si="19"/>
        <v>0</v>
      </c>
      <c r="L94" s="11" t="str">
        <f t="shared" si="20"/>
        <v/>
      </c>
      <c r="M94" s="11" t="str">
        <f t="shared" si="21"/>
        <v/>
      </c>
      <c r="N94" s="11" t="str">
        <f t="shared" si="22"/>
        <v/>
      </c>
    </row>
    <row r="95" spans="3:14">
      <c r="C95" s="188"/>
      <c r="G95" s="79"/>
      <c r="H95" s="193">
        <v>0.19</v>
      </c>
      <c r="I95" s="54">
        <f t="shared" si="18"/>
        <v>0</v>
      </c>
      <c r="J95" s="54">
        <f t="shared" si="19"/>
        <v>0</v>
      </c>
      <c r="L95" s="11" t="str">
        <f t="shared" si="20"/>
        <v/>
      </c>
      <c r="M95" s="11" t="str">
        <f t="shared" si="21"/>
        <v/>
      </c>
      <c r="N95" s="11" t="str">
        <f t="shared" si="22"/>
        <v/>
      </c>
    </row>
    <row r="96" spans="3:14">
      <c r="C96" s="188"/>
      <c r="G96" s="79"/>
      <c r="H96" s="193">
        <v>0.19</v>
      </c>
      <c r="I96" s="54">
        <f t="shared" si="18"/>
        <v>0</v>
      </c>
      <c r="J96" s="54">
        <f t="shared" si="19"/>
        <v>0</v>
      </c>
      <c r="L96" s="11" t="str">
        <f t="shared" si="20"/>
        <v/>
      </c>
      <c r="M96" s="11" t="str">
        <f t="shared" si="21"/>
        <v/>
      </c>
      <c r="N96" s="11" t="str">
        <f t="shared" si="22"/>
        <v/>
      </c>
    </row>
    <row r="97" spans="3:14">
      <c r="C97" s="188"/>
      <c r="G97" s="79"/>
      <c r="H97" s="193">
        <v>0.19</v>
      </c>
      <c r="I97" s="54">
        <f t="shared" si="18"/>
        <v>0</v>
      </c>
      <c r="J97" s="54">
        <f t="shared" si="19"/>
        <v>0</v>
      </c>
      <c r="L97" s="11" t="str">
        <f t="shared" si="20"/>
        <v/>
      </c>
      <c r="M97" s="11" t="str">
        <f t="shared" si="21"/>
        <v/>
      </c>
      <c r="N97" s="11" t="str">
        <f t="shared" si="22"/>
        <v/>
      </c>
    </row>
    <row r="98" spans="3:14">
      <c r="C98" s="188"/>
      <c r="G98" s="79"/>
      <c r="H98" s="193">
        <v>0.19</v>
      </c>
      <c r="I98" s="54">
        <f t="shared" si="18"/>
        <v>0</v>
      </c>
      <c r="J98" s="54">
        <f t="shared" si="19"/>
        <v>0</v>
      </c>
      <c r="L98" s="11" t="str">
        <f t="shared" si="20"/>
        <v/>
      </c>
      <c r="M98" s="11" t="str">
        <f t="shared" si="21"/>
        <v/>
      </c>
      <c r="N98" s="11" t="str">
        <f t="shared" si="22"/>
        <v/>
      </c>
    </row>
    <row r="99" spans="3:14">
      <c r="C99" s="188"/>
      <c r="G99" s="79"/>
      <c r="H99" s="193">
        <v>0.19</v>
      </c>
      <c r="I99" s="54">
        <f t="shared" si="18"/>
        <v>0</v>
      </c>
      <c r="J99" s="54">
        <f t="shared" si="19"/>
        <v>0</v>
      </c>
      <c r="L99" s="11" t="str">
        <f t="shared" si="20"/>
        <v/>
      </c>
      <c r="M99" s="11" t="str">
        <f t="shared" si="21"/>
        <v/>
      </c>
      <c r="N99" s="11" t="str">
        <f t="shared" si="22"/>
        <v/>
      </c>
    </row>
    <row r="100" spans="3:14">
      <c r="C100" s="188"/>
      <c r="G100" s="79"/>
      <c r="H100" s="193">
        <v>0.19</v>
      </c>
      <c r="I100" s="54">
        <f t="shared" si="18"/>
        <v>0</v>
      </c>
      <c r="J100" s="54">
        <f t="shared" si="19"/>
        <v>0</v>
      </c>
      <c r="L100" s="11" t="str">
        <f t="shared" si="20"/>
        <v/>
      </c>
      <c r="M100" s="11" t="str">
        <f t="shared" si="21"/>
        <v/>
      </c>
      <c r="N100" s="11" t="str">
        <f t="shared" si="22"/>
        <v/>
      </c>
    </row>
    <row r="101" spans="3:14">
      <c r="C101" s="188"/>
      <c r="G101" s="79"/>
      <c r="H101" s="193">
        <v>0.19</v>
      </c>
      <c r="I101" s="54">
        <f t="shared" si="18"/>
        <v>0</v>
      </c>
      <c r="J101" s="54">
        <f t="shared" si="19"/>
        <v>0</v>
      </c>
      <c r="L101" s="11" t="str">
        <f t="shared" si="20"/>
        <v/>
      </c>
      <c r="M101" s="11" t="str">
        <f t="shared" si="21"/>
        <v/>
      </c>
      <c r="N101" s="11" t="str">
        <f t="shared" si="22"/>
        <v/>
      </c>
    </row>
    <row r="102" spans="3:14">
      <c r="C102" s="188"/>
      <c r="G102" s="79"/>
      <c r="H102" s="193">
        <v>0.19</v>
      </c>
      <c r="I102" s="54">
        <f t="shared" si="18"/>
        <v>0</v>
      </c>
      <c r="J102" s="54">
        <f t="shared" si="19"/>
        <v>0</v>
      </c>
      <c r="L102" s="11" t="str">
        <f t="shared" si="20"/>
        <v/>
      </c>
      <c r="M102" s="11" t="str">
        <f t="shared" si="21"/>
        <v/>
      </c>
      <c r="N102" s="11" t="str">
        <f t="shared" si="22"/>
        <v/>
      </c>
    </row>
    <row r="103" spans="3:14">
      <c r="C103" s="188"/>
      <c r="G103" s="79"/>
      <c r="H103" s="193">
        <v>0.19</v>
      </c>
      <c r="I103" s="54">
        <f t="shared" si="18"/>
        <v>0</v>
      </c>
      <c r="J103" s="54">
        <f t="shared" si="19"/>
        <v>0</v>
      </c>
      <c r="L103" s="11" t="str">
        <f t="shared" si="20"/>
        <v/>
      </c>
      <c r="M103" s="11" t="str">
        <f t="shared" si="21"/>
        <v/>
      </c>
      <c r="N103" s="11" t="str">
        <f t="shared" si="22"/>
        <v/>
      </c>
    </row>
    <row r="104" spans="3:14">
      <c r="C104" s="188"/>
      <c r="G104" s="79"/>
      <c r="H104" s="193">
        <v>0.19</v>
      </c>
      <c r="I104" s="54">
        <f t="shared" si="18"/>
        <v>0</v>
      </c>
      <c r="J104" s="54">
        <f t="shared" si="19"/>
        <v>0</v>
      </c>
      <c r="L104" s="11" t="str">
        <f t="shared" si="20"/>
        <v/>
      </c>
      <c r="M104" s="11" t="str">
        <f t="shared" si="21"/>
        <v/>
      </c>
      <c r="N104" s="11" t="str">
        <f t="shared" si="22"/>
        <v/>
      </c>
    </row>
    <row r="105" spans="3:14">
      <c r="C105" s="188"/>
      <c r="G105" s="79"/>
      <c r="H105" s="193">
        <v>0.19</v>
      </c>
      <c r="I105" s="54">
        <f t="shared" si="18"/>
        <v>0</v>
      </c>
      <c r="J105" s="54">
        <f t="shared" si="19"/>
        <v>0</v>
      </c>
      <c r="L105" s="11" t="str">
        <f t="shared" si="20"/>
        <v/>
      </c>
      <c r="M105" s="11" t="str">
        <f t="shared" si="21"/>
        <v/>
      </c>
      <c r="N105" s="11" t="str">
        <f t="shared" si="22"/>
        <v/>
      </c>
    </row>
    <row r="106" spans="3:14">
      <c r="C106" s="188"/>
      <c r="G106" s="79"/>
      <c r="H106" s="193">
        <v>0.19</v>
      </c>
      <c r="I106" s="54">
        <f t="shared" si="18"/>
        <v>0</v>
      </c>
      <c r="J106" s="54">
        <f t="shared" si="19"/>
        <v>0</v>
      </c>
      <c r="L106" s="11" t="str">
        <f t="shared" si="20"/>
        <v/>
      </c>
      <c r="M106" s="11" t="str">
        <f t="shared" si="21"/>
        <v/>
      </c>
      <c r="N106" s="11" t="str">
        <f t="shared" si="22"/>
        <v/>
      </c>
    </row>
    <row r="107" spans="3:14">
      <c r="C107" s="188"/>
      <c r="G107" s="79"/>
      <c r="H107" s="193">
        <v>0.19</v>
      </c>
      <c r="I107" s="54">
        <f t="shared" si="18"/>
        <v>0</v>
      </c>
      <c r="J107" s="54">
        <f t="shared" si="19"/>
        <v>0</v>
      </c>
      <c r="L107" s="11" t="str">
        <f t="shared" si="20"/>
        <v/>
      </c>
      <c r="M107" s="11" t="str">
        <f t="shared" si="21"/>
        <v/>
      </c>
      <c r="N107" s="11" t="str">
        <f t="shared" si="22"/>
        <v/>
      </c>
    </row>
    <row r="108" spans="3:14">
      <c r="C108" s="188"/>
      <c r="G108" s="79"/>
      <c r="H108" s="193">
        <v>0.19</v>
      </c>
      <c r="I108" s="54">
        <f t="shared" si="18"/>
        <v>0</v>
      </c>
      <c r="J108" s="54">
        <f t="shared" si="19"/>
        <v>0</v>
      </c>
      <c r="L108" s="11" t="str">
        <f t="shared" si="20"/>
        <v/>
      </c>
      <c r="M108" s="11" t="str">
        <f t="shared" si="21"/>
        <v/>
      </c>
      <c r="N108" s="11" t="str">
        <f t="shared" si="22"/>
        <v/>
      </c>
    </row>
    <row r="109" spans="3:14">
      <c r="C109" s="188"/>
      <c r="G109" s="79"/>
      <c r="H109" s="193">
        <v>0.19</v>
      </c>
      <c r="I109" s="54">
        <f t="shared" si="18"/>
        <v>0</v>
      </c>
      <c r="J109" s="54">
        <f t="shared" si="19"/>
        <v>0</v>
      </c>
      <c r="L109" s="11" t="str">
        <f t="shared" si="20"/>
        <v/>
      </c>
      <c r="M109" s="11" t="str">
        <f t="shared" si="21"/>
        <v/>
      </c>
      <c r="N109" s="11" t="str">
        <f t="shared" si="22"/>
        <v/>
      </c>
    </row>
    <row r="110" spans="3:14">
      <c r="C110" s="188"/>
      <c r="G110" s="79"/>
      <c r="H110" s="193">
        <v>0.19</v>
      </c>
      <c r="I110" s="54">
        <f t="shared" si="18"/>
        <v>0</v>
      </c>
      <c r="J110" s="54">
        <f t="shared" si="19"/>
        <v>0</v>
      </c>
      <c r="L110" s="11" t="str">
        <f t="shared" si="20"/>
        <v/>
      </c>
      <c r="M110" s="11" t="str">
        <f t="shared" si="21"/>
        <v/>
      </c>
      <c r="N110" s="11" t="str">
        <f t="shared" si="22"/>
        <v/>
      </c>
    </row>
    <row r="111" spans="3:14">
      <c r="C111" s="188"/>
      <c r="G111" s="79"/>
      <c r="H111" s="193">
        <v>0.19</v>
      </c>
      <c r="I111" s="54">
        <f t="shared" si="18"/>
        <v>0</v>
      </c>
      <c r="J111" s="54">
        <f t="shared" si="19"/>
        <v>0</v>
      </c>
      <c r="L111" s="11" t="str">
        <f t="shared" si="20"/>
        <v/>
      </c>
      <c r="M111" s="11" t="str">
        <f t="shared" si="21"/>
        <v/>
      </c>
      <c r="N111" s="11" t="str">
        <f t="shared" si="22"/>
        <v/>
      </c>
    </row>
    <row r="112" spans="3:14">
      <c r="C112" s="188"/>
      <c r="G112" s="79"/>
      <c r="H112" s="193">
        <v>0.19</v>
      </c>
      <c r="I112" s="54">
        <f t="shared" si="18"/>
        <v>0</v>
      </c>
      <c r="J112" s="54">
        <f t="shared" si="19"/>
        <v>0</v>
      </c>
      <c r="L112" s="11" t="str">
        <f t="shared" si="20"/>
        <v/>
      </c>
      <c r="M112" s="11" t="str">
        <f t="shared" si="21"/>
        <v/>
      </c>
      <c r="N112" s="11" t="str">
        <f t="shared" si="22"/>
        <v/>
      </c>
    </row>
    <row r="113" spans="3:14">
      <c r="C113" s="188"/>
      <c r="G113" s="79"/>
      <c r="H113" s="193">
        <v>0.19</v>
      </c>
      <c r="I113" s="54">
        <f t="shared" si="18"/>
        <v>0</v>
      </c>
      <c r="J113" s="54">
        <f t="shared" si="19"/>
        <v>0</v>
      </c>
      <c r="L113" s="11" t="str">
        <f t="shared" si="20"/>
        <v/>
      </c>
      <c r="M113" s="11" t="str">
        <f t="shared" si="21"/>
        <v/>
      </c>
      <c r="N113" s="11" t="str">
        <f t="shared" si="22"/>
        <v/>
      </c>
    </row>
    <row r="114" spans="3:14">
      <c r="C114" s="188"/>
      <c r="G114" s="79"/>
      <c r="H114" s="193">
        <v>0.19</v>
      </c>
      <c r="I114" s="54">
        <f t="shared" si="18"/>
        <v>0</v>
      </c>
      <c r="J114" s="54">
        <f t="shared" si="19"/>
        <v>0</v>
      </c>
      <c r="L114" s="11" t="str">
        <f t="shared" si="20"/>
        <v/>
      </c>
      <c r="M114" s="11" t="str">
        <f t="shared" si="21"/>
        <v/>
      </c>
      <c r="N114" s="11" t="str">
        <f t="shared" si="22"/>
        <v/>
      </c>
    </row>
    <row r="115" spans="3:14">
      <c r="C115" s="188"/>
      <c r="G115" s="79"/>
      <c r="H115" s="193">
        <v>0.19</v>
      </c>
      <c r="I115" s="54">
        <f t="shared" si="18"/>
        <v>0</v>
      </c>
      <c r="J115" s="54">
        <f t="shared" si="19"/>
        <v>0</v>
      </c>
      <c r="L115" s="11" t="str">
        <f t="shared" si="20"/>
        <v/>
      </c>
      <c r="M115" s="11" t="str">
        <f t="shared" si="21"/>
        <v/>
      </c>
      <c r="N115" s="11" t="str">
        <f t="shared" si="22"/>
        <v/>
      </c>
    </row>
    <row r="116" spans="3:14">
      <c r="C116" s="188"/>
      <c r="G116" s="79"/>
      <c r="H116" s="193">
        <v>0.19</v>
      </c>
      <c r="I116" s="54">
        <f t="shared" si="18"/>
        <v>0</v>
      </c>
      <c r="J116" s="54">
        <f t="shared" si="19"/>
        <v>0</v>
      </c>
      <c r="L116" s="11" t="str">
        <f t="shared" si="20"/>
        <v/>
      </c>
      <c r="M116" s="11" t="str">
        <f t="shared" si="21"/>
        <v/>
      </c>
      <c r="N116" s="11" t="str">
        <f t="shared" si="22"/>
        <v/>
      </c>
    </row>
    <row r="117" spans="3:14">
      <c r="C117" s="188"/>
      <c r="G117" s="79"/>
      <c r="H117" s="193">
        <v>0.19</v>
      </c>
      <c r="I117" s="54">
        <f t="shared" si="18"/>
        <v>0</v>
      </c>
      <c r="J117" s="54">
        <f t="shared" si="19"/>
        <v>0</v>
      </c>
      <c r="L117" s="11" t="str">
        <f t="shared" si="20"/>
        <v/>
      </c>
      <c r="M117" s="11" t="str">
        <f t="shared" si="21"/>
        <v/>
      </c>
      <c r="N117" s="11" t="str">
        <f t="shared" si="22"/>
        <v/>
      </c>
    </row>
    <row r="118" spans="3:14">
      <c r="C118" s="188"/>
      <c r="G118" s="79"/>
      <c r="H118" s="193">
        <v>0.19</v>
      </c>
      <c r="I118" s="54">
        <f t="shared" si="18"/>
        <v>0</v>
      </c>
      <c r="J118" s="54">
        <f t="shared" si="19"/>
        <v>0</v>
      </c>
      <c r="L118" s="11" t="str">
        <f t="shared" ref="L118:L133" si="23">IF(C118="","",MONTH(C118))</f>
        <v/>
      </c>
      <c r="M118" s="11" t="str">
        <f t="shared" ref="M118:M133" si="24">IF(C118="","",YEAR(C118))</f>
        <v/>
      </c>
      <c r="N118" s="11" t="str">
        <f t="shared" ref="N118:N133" si="25">IF(C118="","",DAY(C118))</f>
        <v/>
      </c>
    </row>
    <row r="119" spans="3:14">
      <c r="C119" s="188"/>
      <c r="G119" s="79"/>
      <c r="H119" s="193">
        <v>0.19</v>
      </c>
      <c r="I119" s="54">
        <f t="shared" si="18"/>
        <v>0</v>
      </c>
      <c r="J119" s="54">
        <f t="shared" si="19"/>
        <v>0</v>
      </c>
      <c r="L119" s="11" t="str">
        <f t="shared" si="23"/>
        <v/>
      </c>
      <c r="M119" s="11" t="str">
        <f t="shared" si="24"/>
        <v/>
      </c>
      <c r="N119" s="11" t="str">
        <f t="shared" si="25"/>
        <v/>
      </c>
    </row>
    <row r="120" spans="3:14">
      <c r="C120" s="188"/>
      <c r="G120" s="79"/>
      <c r="H120" s="193">
        <v>0.19</v>
      </c>
      <c r="I120" s="54">
        <f t="shared" si="18"/>
        <v>0</v>
      </c>
      <c r="J120" s="54">
        <f t="shared" si="19"/>
        <v>0</v>
      </c>
      <c r="L120" s="11" t="str">
        <f t="shared" si="23"/>
        <v/>
      </c>
      <c r="M120" s="11" t="str">
        <f t="shared" si="24"/>
        <v/>
      </c>
      <c r="N120" s="11" t="str">
        <f t="shared" si="25"/>
        <v/>
      </c>
    </row>
    <row r="121" spans="3:14">
      <c r="C121" s="188"/>
      <c r="G121" s="79"/>
      <c r="H121" s="193">
        <v>0.19</v>
      </c>
      <c r="I121" s="54">
        <f t="shared" si="18"/>
        <v>0</v>
      </c>
      <c r="J121" s="54">
        <f t="shared" si="19"/>
        <v>0</v>
      </c>
      <c r="L121" s="11" t="str">
        <f t="shared" si="23"/>
        <v/>
      </c>
      <c r="M121" s="11" t="str">
        <f t="shared" si="24"/>
        <v/>
      </c>
      <c r="N121" s="11" t="str">
        <f t="shared" si="25"/>
        <v/>
      </c>
    </row>
    <row r="122" spans="3:14">
      <c r="C122" s="188"/>
      <c r="G122" s="79"/>
      <c r="H122" s="193">
        <v>0.19</v>
      </c>
      <c r="I122" s="54">
        <f t="shared" si="18"/>
        <v>0</v>
      </c>
      <c r="J122" s="54">
        <f t="shared" si="19"/>
        <v>0</v>
      </c>
      <c r="L122" s="11" t="str">
        <f t="shared" si="23"/>
        <v/>
      </c>
      <c r="M122" s="11" t="str">
        <f t="shared" si="24"/>
        <v/>
      </c>
      <c r="N122" s="11" t="str">
        <f t="shared" si="25"/>
        <v/>
      </c>
    </row>
    <row r="123" spans="3:14">
      <c r="C123" s="188"/>
      <c r="G123" s="79"/>
      <c r="H123" s="193">
        <v>0.19</v>
      </c>
      <c r="I123" s="54">
        <f t="shared" si="18"/>
        <v>0</v>
      </c>
      <c r="J123" s="54">
        <f t="shared" si="19"/>
        <v>0</v>
      </c>
      <c r="L123" s="11" t="str">
        <f t="shared" si="23"/>
        <v/>
      </c>
      <c r="M123" s="11" t="str">
        <f t="shared" si="24"/>
        <v/>
      </c>
      <c r="N123" s="11" t="str">
        <f t="shared" si="25"/>
        <v/>
      </c>
    </row>
    <row r="124" spans="3:14">
      <c r="C124" s="188"/>
      <c r="G124" s="79"/>
      <c r="H124" s="193">
        <v>0.19</v>
      </c>
      <c r="I124" s="54">
        <f t="shared" si="18"/>
        <v>0</v>
      </c>
      <c r="J124" s="54">
        <f t="shared" si="19"/>
        <v>0</v>
      </c>
      <c r="L124" s="11" t="str">
        <f t="shared" si="23"/>
        <v/>
      </c>
      <c r="M124" s="11" t="str">
        <f t="shared" si="24"/>
        <v/>
      </c>
      <c r="N124" s="11" t="str">
        <f t="shared" si="25"/>
        <v/>
      </c>
    </row>
    <row r="125" spans="3:14">
      <c r="C125" s="188"/>
      <c r="G125" s="79"/>
      <c r="H125" s="193">
        <v>0.19</v>
      </c>
      <c r="I125" s="54">
        <f t="shared" si="18"/>
        <v>0</v>
      </c>
      <c r="J125" s="54">
        <f t="shared" si="19"/>
        <v>0</v>
      </c>
      <c r="L125" s="11" t="str">
        <f t="shared" si="23"/>
        <v/>
      </c>
      <c r="M125" s="11" t="str">
        <f t="shared" si="24"/>
        <v/>
      </c>
      <c r="N125" s="11" t="str">
        <f t="shared" si="25"/>
        <v/>
      </c>
    </row>
    <row r="126" spans="3:14">
      <c r="C126" s="188"/>
      <c r="G126" s="79"/>
      <c r="H126" s="193">
        <v>0.19</v>
      </c>
      <c r="I126" s="54">
        <f t="shared" si="18"/>
        <v>0</v>
      </c>
      <c r="J126" s="54">
        <f t="shared" si="19"/>
        <v>0</v>
      </c>
      <c r="L126" s="11" t="str">
        <f t="shared" si="23"/>
        <v/>
      </c>
      <c r="M126" s="11" t="str">
        <f t="shared" si="24"/>
        <v/>
      </c>
      <c r="N126" s="11" t="str">
        <f t="shared" si="25"/>
        <v/>
      </c>
    </row>
    <row r="127" spans="3:14">
      <c r="C127" s="188"/>
      <c r="G127" s="79"/>
      <c r="H127" s="193">
        <v>0.19</v>
      </c>
      <c r="I127" s="54">
        <f t="shared" si="18"/>
        <v>0</v>
      </c>
      <c r="J127" s="54">
        <f t="shared" si="19"/>
        <v>0</v>
      </c>
      <c r="L127" s="11" t="str">
        <f t="shared" si="23"/>
        <v/>
      </c>
      <c r="M127" s="11" t="str">
        <f t="shared" si="24"/>
        <v/>
      </c>
      <c r="N127" s="11" t="str">
        <f t="shared" si="25"/>
        <v/>
      </c>
    </row>
    <row r="128" spans="3:14">
      <c r="C128" s="188"/>
      <c r="G128" s="79"/>
      <c r="H128" s="193">
        <v>0.19</v>
      </c>
      <c r="I128" s="54">
        <f t="shared" si="18"/>
        <v>0</v>
      </c>
      <c r="J128" s="54">
        <f t="shared" si="19"/>
        <v>0</v>
      </c>
      <c r="L128" s="11" t="str">
        <f t="shared" si="23"/>
        <v/>
      </c>
      <c r="M128" s="11" t="str">
        <f t="shared" si="24"/>
        <v/>
      </c>
      <c r="N128" s="11" t="str">
        <f t="shared" si="25"/>
        <v/>
      </c>
    </row>
    <row r="129" spans="3:14">
      <c r="C129" s="188"/>
      <c r="G129" s="79"/>
      <c r="H129" s="193">
        <v>0.19</v>
      </c>
      <c r="I129" s="54">
        <f t="shared" si="18"/>
        <v>0</v>
      </c>
      <c r="J129" s="54">
        <f t="shared" si="19"/>
        <v>0</v>
      </c>
      <c r="L129" s="11" t="str">
        <f t="shared" si="23"/>
        <v/>
      </c>
      <c r="M129" s="11" t="str">
        <f t="shared" si="24"/>
        <v/>
      </c>
      <c r="N129" s="11" t="str">
        <f t="shared" si="25"/>
        <v/>
      </c>
    </row>
    <row r="130" spans="3:14">
      <c r="C130" s="188"/>
      <c r="G130" s="79"/>
      <c r="H130" s="193">
        <v>0.19</v>
      </c>
      <c r="I130" s="54">
        <f t="shared" si="18"/>
        <v>0</v>
      </c>
      <c r="J130" s="54">
        <f t="shared" si="19"/>
        <v>0</v>
      </c>
      <c r="L130" s="11" t="str">
        <f t="shared" si="23"/>
        <v/>
      </c>
      <c r="M130" s="11" t="str">
        <f t="shared" si="24"/>
        <v/>
      </c>
      <c r="N130" s="11" t="str">
        <f t="shared" si="25"/>
        <v/>
      </c>
    </row>
    <row r="131" spans="3:14">
      <c r="C131" s="188"/>
      <c r="G131" s="79"/>
      <c r="H131" s="193">
        <v>0.19</v>
      </c>
      <c r="I131" s="54">
        <f t="shared" si="18"/>
        <v>0</v>
      </c>
      <c r="J131" s="54">
        <f t="shared" si="19"/>
        <v>0</v>
      </c>
      <c r="L131" s="11" t="str">
        <f t="shared" si="23"/>
        <v/>
      </c>
      <c r="M131" s="11" t="str">
        <f t="shared" si="24"/>
        <v/>
      </c>
      <c r="N131" s="11" t="str">
        <f t="shared" si="25"/>
        <v/>
      </c>
    </row>
    <row r="132" spans="3:14">
      <c r="C132" s="188"/>
      <c r="G132" s="79"/>
      <c r="H132" s="193">
        <v>0.19</v>
      </c>
      <c r="I132" s="54">
        <f t="shared" si="18"/>
        <v>0</v>
      </c>
      <c r="J132" s="54">
        <f t="shared" si="19"/>
        <v>0</v>
      </c>
      <c r="L132" s="11" t="str">
        <f t="shared" si="23"/>
        <v/>
      </c>
      <c r="M132" s="11" t="str">
        <f t="shared" si="24"/>
        <v/>
      </c>
      <c r="N132" s="11" t="str">
        <f t="shared" si="25"/>
        <v/>
      </c>
    </row>
    <row r="133" spans="3:14">
      <c r="C133" s="188"/>
      <c r="G133" s="79"/>
      <c r="H133" s="193">
        <v>0.19</v>
      </c>
      <c r="I133" s="54">
        <f t="shared" si="18"/>
        <v>0</v>
      </c>
      <c r="J133" s="54">
        <f t="shared" si="19"/>
        <v>0</v>
      </c>
      <c r="L133" s="11" t="str">
        <f t="shared" si="23"/>
        <v/>
      </c>
      <c r="M133" s="11" t="str">
        <f t="shared" si="24"/>
        <v/>
      </c>
      <c r="N133" s="11" t="str">
        <f t="shared" si="25"/>
        <v/>
      </c>
    </row>
  </sheetData>
  <mergeCells count="7">
    <mergeCell ref="B2:K3"/>
    <mergeCell ref="D6:E6"/>
    <mergeCell ref="F6:G6"/>
    <mergeCell ref="H6:I6"/>
    <mergeCell ref="D5:E5"/>
    <mergeCell ref="F5:G5"/>
    <mergeCell ref="H5:I5"/>
  </mergeCells>
  <phoneticPr fontId="13" type="noConversion"/>
  <conditionalFormatting sqref="I9:I133">
    <cfRule type="cellIs" dxfId="75" priority="1" operator="equal">
      <formula>0</formula>
    </cfRule>
  </conditionalFormatting>
  <dataValidations xWindow="149" yWindow="244" count="1">
    <dataValidation allowBlank="1" showInputMessage="1" showErrorMessage="1" prompt="Ingrese la fecha por DIA/MES/AÑO_x000a_Ejemplo: 01/02/2024" sqref="C9:C133"/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149" yWindow="244" count="2">
        <x14:dataValidation type="list" allowBlank="1" showInputMessage="1" showErrorMessage="1">
          <x14:formula1>
            <xm:f>#REF!</xm:f>
          </x14:formula1>
          <xm:sqref>D9:D133</xm:sqref>
        </x14:dataValidation>
        <x14:dataValidation type="list" allowBlank="1" showInputMessage="1" showErrorMessage="1">
          <x14:formula1>
            <xm:f>#REF!</xm:f>
          </x14:formula1>
          <xm:sqref>F9:F133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B1:N189"/>
  <sheetViews>
    <sheetView showGridLines="0" zoomScaleNormal="100" workbookViewId="0">
      <pane ySplit="8" topLeftCell="A9" activePane="bottomLeft" state="frozen"/>
      <selection pane="bottomLeft" activeCell="D138" sqref="D138"/>
    </sheetView>
  </sheetViews>
  <sheetFormatPr baseColWidth="10" defaultColWidth="11.42578125" defaultRowHeight="17.25"/>
  <cols>
    <col min="1" max="1" width="0.42578125" style="11" customWidth="1"/>
    <col min="2" max="2" width="6.28515625" style="11" customWidth="1"/>
    <col min="3" max="3" width="15.7109375" style="11" customWidth="1"/>
    <col min="4" max="4" width="32" style="11" customWidth="1"/>
    <col min="5" max="5" width="42.140625" style="11" bestFit="1" customWidth="1"/>
    <col min="6" max="6" width="26.28515625" style="11" customWidth="1"/>
    <col min="7" max="7" width="14.7109375" style="57" customWidth="1"/>
    <col min="8" max="8" width="11.28515625" style="11" bestFit="1" customWidth="1"/>
    <col min="9" max="9" width="0.5703125" style="57" customWidth="1"/>
    <col min="10" max="10" width="3.28515625" style="57" customWidth="1"/>
    <col min="11" max="11" width="56.42578125" style="11" customWidth="1"/>
    <col min="12" max="12" width="3.28515625" style="11" bestFit="1" customWidth="1"/>
    <col min="13" max="13" width="6.28515625" style="11" bestFit="1" customWidth="1"/>
    <col min="14" max="14" width="3.7109375" style="11" bestFit="1" customWidth="1"/>
    <col min="15" max="16384" width="11.42578125" style="11"/>
  </cols>
  <sheetData>
    <row r="1" spans="2:14" s="8" customFormat="1" ht="7.5" customHeight="1">
      <c r="G1" s="56"/>
      <c r="I1" s="56"/>
      <c r="J1" s="56"/>
    </row>
    <row r="2" spans="2:14" s="8" customFormat="1" ht="22.5" customHeight="1">
      <c r="B2" s="245" t="s">
        <v>97</v>
      </c>
      <c r="C2" s="245"/>
      <c r="D2" s="245"/>
      <c r="E2" s="245"/>
      <c r="F2" s="245"/>
      <c r="G2" s="245"/>
      <c r="H2" s="245"/>
      <c r="I2" s="249"/>
      <c r="J2" s="249"/>
      <c r="K2" s="245"/>
    </row>
    <row r="3" spans="2:14" s="8" customFormat="1" ht="22.5" customHeight="1">
      <c r="B3" s="245"/>
      <c r="C3" s="245"/>
      <c r="D3" s="245"/>
      <c r="E3" s="245"/>
      <c r="F3" s="245"/>
      <c r="G3" s="245"/>
      <c r="H3" s="245"/>
      <c r="I3" s="249"/>
      <c r="J3" s="249"/>
      <c r="K3" s="245"/>
    </row>
    <row r="4" spans="2:14" ht="16.5" customHeight="1"/>
    <row r="5" spans="2:14" s="9" customFormat="1" ht="19.5" customHeight="1">
      <c r="D5" s="250" t="e">
        <f>#REF! &amp; " " &amp; TEXT(SUM(tbl_ingresos314[Costo Total]),"#,##0.00")</f>
        <v>#REF!</v>
      </c>
      <c r="E5" s="251"/>
      <c r="F5" s="252" t="e">
        <f>#REF! &amp; " " &amp; TEXT(SUM(tbl_ingresos314[Valor Impuesto]),"#,##0.00")</f>
        <v>#REF!</v>
      </c>
      <c r="G5" s="252"/>
      <c r="H5" s="243" t="e">
        <f>#REF! &amp; " " &amp; TEXT(SUM(tbl_ingresos314[Total Neto]),"#,##0.00")</f>
        <v>#REF!</v>
      </c>
      <c r="I5" s="253"/>
      <c r="J5" s="104"/>
    </row>
    <row r="6" spans="2:14" s="9" customFormat="1" ht="19.5" customHeight="1">
      <c r="D6" s="254" t="s">
        <v>98</v>
      </c>
      <c r="E6" s="255"/>
      <c r="F6" s="255" t="s">
        <v>30</v>
      </c>
      <c r="G6" s="255"/>
      <c r="H6" s="255" t="s">
        <v>99</v>
      </c>
      <c r="I6" s="256"/>
      <c r="J6" s="104"/>
    </row>
    <row r="8" spans="2:14" s="9" customFormat="1" ht="22.5" customHeight="1">
      <c r="B8" s="20" t="s">
        <v>32</v>
      </c>
      <c r="C8" s="20" t="s">
        <v>33</v>
      </c>
      <c r="D8" s="20" t="s">
        <v>34</v>
      </c>
      <c r="E8" s="20" t="s">
        <v>35</v>
      </c>
      <c r="F8" s="20" t="s">
        <v>36</v>
      </c>
      <c r="G8" s="58" t="s">
        <v>100</v>
      </c>
      <c r="H8" s="20" t="s">
        <v>38</v>
      </c>
      <c r="I8" s="58" t="s">
        <v>39</v>
      </c>
      <c r="J8" s="58" t="s">
        <v>40</v>
      </c>
      <c r="K8" s="20" t="s">
        <v>41</v>
      </c>
      <c r="L8" s="13" t="s">
        <v>7</v>
      </c>
      <c r="M8" s="13" t="s">
        <v>8</v>
      </c>
      <c r="N8" s="14" t="s">
        <v>42</v>
      </c>
    </row>
    <row r="9" spans="2:14" s="55" customFormat="1" ht="22.5" customHeight="1">
      <c r="C9" s="213" t="s">
        <v>101</v>
      </c>
      <c r="G9" s="194"/>
      <c r="H9" s="195"/>
      <c r="I9" s="194">
        <f t="shared" ref="I9:I13" si="0">G9 - (G9 / (1 + H9))</f>
        <v>0</v>
      </c>
      <c r="J9" s="194">
        <f t="shared" ref="J9:J13" si="1">G9 / (1 + H9)</f>
        <v>0</v>
      </c>
      <c r="L9" s="55" t="e">
        <f t="shared" ref="L9:L40" si="2">IF(C9="","",MONTH(C9))</f>
        <v>#VALUE!</v>
      </c>
      <c r="M9" s="55" t="e">
        <f t="shared" ref="M9:M40" si="3">IF(C9="","",YEAR(C9))</f>
        <v>#VALUE!</v>
      </c>
      <c r="N9" s="199" t="e">
        <f t="shared" ref="N9:N40" si="4">IF(C9="","",DAY(C9))</f>
        <v>#VALUE!</v>
      </c>
    </row>
    <row r="10" spans="2:14">
      <c r="B10" s="200">
        <v>514</v>
      </c>
      <c r="C10" s="201">
        <v>46105</v>
      </c>
      <c r="D10" s="202" t="s">
        <v>19</v>
      </c>
      <c r="E10" s="202" t="s">
        <v>102</v>
      </c>
      <c r="F10" s="202" t="s">
        <v>103</v>
      </c>
      <c r="G10" s="196">
        <v>242240</v>
      </c>
      <c r="H10" s="203">
        <v>0.19</v>
      </c>
      <c r="I10" s="196">
        <f t="shared" si="0"/>
        <v>38676.974789915956</v>
      </c>
      <c r="J10" s="196">
        <f t="shared" si="1"/>
        <v>203563.02521008404</v>
      </c>
      <c r="K10" s="204" t="s">
        <v>104</v>
      </c>
      <c r="L10" s="11">
        <f t="shared" si="2"/>
        <v>3</v>
      </c>
      <c r="M10" s="11">
        <f t="shared" si="3"/>
        <v>2026</v>
      </c>
      <c r="N10" s="11">
        <f t="shared" si="4"/>
        <v>24</v>
      </c>
    </row>
    <row r="11" spans="2:14">
      <c r="B11" s="205">
        <v>502</v>
      </c>
      <c r="C11" s="206">
        <v>46106</v>
      </c>
      <c r="D11" s="207" t="s">
        <v>5</v>
      </c>
      <c r="E11" s="207" t="s">
        <v>105</v>
      </c>
      <c r="F11" s="207" t="s">
        <v>103</v>
      </c>
      <c r="G11" s="85">
        <v>157865</v>
      </c>
      <c r="H11" s="208">
        <v>0.19</v>
      </c>
      <c r="I11" s="85">
        <f t="shared" si="0"/>
        <v>25205.33613445377</v>
      </c>
      <c r="J11" s="85">
        <f t="shared" si="1"/>
        <v>132659.66386554623</v>
      </c>
      <c r="K11" s="209" t="s">
        <v>106</v>
      </c>
      <c r="L11" s="11">
        <f t="shared" si="2"/>
        <v>3</v>
      </c>
      <c r="M11" s="11">
        <f t="shared" si="3"/>
        <v>2026</v>
      </c>
      <c r="N11" s="11">
        <f t="shared" si="4"/>
        <v>25</v>
      </c>
    </row>
    <row r="12" spans="2:14">
      <c r="B12" s="205">
        <v>505</v>
      </c>
      <c r="C12" s="206">
        <v>46106</v>
      </c>
      <c r="D12" s="207" t="s">
        <v>10</v>
      </c>
      <c r="E12" s="207" t="s">
        <v>107</v>
      </c>
      <c r="F12" s="207" t="s">
        <v>11</v>
      </c>
      <c r="G12" s="85">
        <v>17000</v>
      </c>
      <c r="H12" s="208">
        <v>0.19</v>
      </c>
      <c r="I12" s="85">
        <f t="shared" si="0"/>
        <v>2714.2857142857138</v>
      </c>
      <c r="J12" s="85">
        <f t="shared" si="1"/>
        <v>14285.714285714286</v>
      </c>
      <c r="K12" s="209" t="s">
        <v>108</v>
      </c>
      <c r="L12" s="11">
        <f t="shared" si="2"/>
        <v>3</v>
      </c>
      <c r="M12" s="11">
        <f t="shared" si="3"/>
        <v>2026</v>
      </c>
      <c r="N12" s="11">
        <f t="shared" si="4"/>
        <v>25</v>
      </c>
    </row>
    <row r="13" spans="2:14">
      <c r="B13" s="205">
        <v>515</v>
      </c>
      <c r="C13" s="206">
        <v>46106</v>
      </c>
      <c r="D13" s="207" t="s">
        <v>109</v>
      </c>
      <c r="E13" s="207" t="s">
        <v>110</v>
      </c>
      <c r="F13" s="207" t="s">
        <v>103</v>
      </c>
      <c r="G13" s="85">
        <v>20000</v>
      </c>
      <c r="H13" s="208">
        <v>0.19</v>
      </c>
      <c r="I13" s="85">
        <f t="shared" si="0"/>
        <v>3193.2773109243681</v>
      </c>
      <c r="J13" s="85">
        <f t="shared" si="1"/>
        <v>16806.722689075632</v>
      </c>
      <c r="K13" s="209" t="s">
        <v>111</v>
      </c>
      <c r="L13" s="11">
        <f t="shared" si="2"/>
        <v>3</v>
      </c>
      <c r="M13" s="11">
        <f t="shared" si="3"/>
        <v>2026</v>
      </c>
      <c r="N13" s="11">
        <f t="shared" si="4"/>
        <v>25</v>
      </c>
    </row>
    <row r="14" spans="2:14">
      <c r="B14" s="207"/>
      <c r="C14" s="206"/>
      <c r="D14" s="207"/>
      <c r="E14" s="207"/>
      <c r="F14" s="207"/>
      <c r="G14" s="85"/>
      <c r="H14" s="208"/>
      <c r="I14" s="85"/>
      <c r="J14" s="85"/>
      <c r="K14" s="207"/>
      <c r="L14" s="11" t="str">
        <f t="shared" si="2"/>
        <v/>
      </c>
      <c r="M14" s="11" t="str">
        <f t="shared" si="3"/>
        <v/>
      </c>
      <c r="N14" s="11" t="str">
        <f t="shared" si="4"/>
        <v/>
      </c>
    </row>
    <row r="15" spans="2:14">
      <c r="B15" s="207"/>
      <c r="C15" s="206"/>
      <c r="D15" s="207"/>
      <c r="E15" s="207"/>
      <c r="F15" s="207"/>
      <c r="G15" s="85"/>
      <c r="H15" s="208"/>
      <c r="I15" s="85"/>
      <c r="J15" s="85"/>
      <c r="K15" s="207"/>
      <c r="L15" s="11" t="str">
        <f t="shared" si="2"/>
        <v/>
      </c>
      <c r="M15" s="11" t="str">
        <f t="shared" si="3"/>
        <v/>
      </c>
      <c r="N15" s="11" t="str">
        <f t="shared" si="4"/>
        <v/>
      </c>
    </row>
    <row r="16" spans="2:14">
      <c r="B16" s="207"/>
      <c r="C16" s="206"/>
      <c r="D16" s="207"/>
      <c r="E16" s="207"/>
      <c r="F16" s="207"/>
      <c r="G16" s="85"/>
      <c r="H16" s="208"/>
      <c r="I16" s="85"/>
      <c r="J16" s="85"/>
      <c r="K16" s="207"/>
      <c r="L16" s="11" t="str">
        <f t="shared" si="2"/>
        <v/>
      </c>
      <c r="M16" s="11" t="str">
        <f t="shared" si="3"/>
        <v/>
      </c>
      <c r="N16" s="11" t="str">
        <f t="shared" si="4"/>
        <v/>
      </c>
    </row>
    <row r="17" spans="2:14">
      <c r="B17" s="207"/>
      <c r="C17" s="206"/>
      <c r="D17" s="207"/>
      <c r="E17" s="207"/>
      <c r="F17" s="207"/>
      <c r="G17" s="85"/>
      <c r="H17" s="208"/>
      <c r="I17" s="18"/>
      <c r="J17" s="25"/>
      <c r="K17" s="207"/>
      <c r="L17" s="11" t="str">
        <f t="shared" si="2"/>
        <v/>
      </c>
      <c r="M17" s="11" t="str">
        <f t="shared" si="3"/>
        <v/>
      </c>
      <c r="N17" s="11" t="str">
        <f t="shared" si="4"/>
        <v/>
      </c>
    </row>
    <row r="18" spans="2:14">
      <c r="B18" s="207"/>
      <c r="C18" s="206"/>
      <c r="D18" s="207"/>
      <c r="E18" s="207"/>
      <c r="F18" s="207"/>
      <c r="G18" s="85"/>
      <c r="H18" s="208"/>
      <c r="I18" s="85"/>
      <c r="J18" s="85"/>
      <c r="K18" s="207"/>
      <c r="L18" s="11" t="str">
        <f t="shared" si="2"/>
        <v/>
      </c>
      <c r="M18" s="11" t="str">
        <f t="shared" si="3"/>
        <v/>
      </c>
      <c r="N18" s="11" t="str">
        <f t="shared" si="4"/>
        <v/>
      </c>
    </row>
    <row r="19" spans="2:14">
      <c r="B19" s="207"/>
      <c r="C19" s="206"/>
      <c r="D19" s="207"/>
      <c r="E19" s="207"/>
      <c r="F19" s="207"/>
      <c r="G19" s="85"/>
      <c r="H19" s="208"/>
      <c r="I19" s="85"/>
      <c r="J19" s="85"/>
      <c r="K19" s="207"/>
      <c r="L19" s="11" t="str">
        <f t="shared" si="2"/>
        <v/>
      </c>
      <c r="M19" s="11" t="str">
        <f t="shared" si="3"/>
        <v/>
      </c>
      <c r="N19" s="11" t="str">
        <f t="shared" si="4"/>
        <v/>
      </c>
    </row>
    <row r="20" spans="2:14">
      <c r="B20" s="207"/>
      <c r="C20" s="206"/>
      <c r="D20" s="207"/>
      <c r="E20" s="207"/>
      <c r="F20" s="207"/>
      <c r="G20" s="85"/>
      <c r="H20" s="208"/>
      <c r="I20" s="85"/>
      <c r="J20" s="85"/>
      <c r="K20" s="207"/>
      <c r="L20" s="11" t="str">
        <f t="shared" si="2"/>
        <v/>
      </c>
      <c r="M20" s="11" t="str">
        <f t="shared" si="3"/>
        <v/>
      </c>
      <c r="N20" s="11" t="str">
        <f t="shared" si="4"/>
        <v/>
      </c>
    </row>
    <row r="21" spans="2:14">
      <c r="B21" s="207"/>
      <c r="C21" s="206"/>
      <c r="D21" s="207"/>
      <c r="E21" s="207"/>
      <c r="F21" s="207"/>
      <c r="G21" s="85"/>
      <c r="H21" s="208"/>
      <c r="I21" s="85"/>
      <c r="J21" s="85"/>
      <c r="K21" s="207"/>
      <c r="L21" s="11" t="str">
        <f t="shared" si="2"/>
        <v/>
      </c>
      <c r="M21" s="11" t="str">
        <f t="shared" si="3"/>
        <v/>
      </c>
      <c r="N21" s="11" t="str">
        <f t="shared" si="4"/>
        <v/>
      </c>
    </row>
    <row r="22" spans="2:14">
      <c r="B22" s="207"/>
      <c r="C22" s="206"/>
      <c r="D22" s="207"/>
      <c r="E22" s="207"/>
      <c r="F22" s="207"/>
      <c r="G22" s="85"/>
      <c r="H22" s="208"/>
      <c r="I22" s="85"/>
      <c r="J22" s="85"/>
      <c r="K22" s="207"/>
      <c r="L22" s="11" t="str">
        <f t="shared" si="2"/>
        <v/>
      </c>
      <c r="M22" s="11" t="str">
        <f t="shared" si="3"/>
        <v/>
      </c>
      <c r="N22" s="11" t="str">
        <f t="shared" si="4"/>
        <v/>
      </c>
    </row>
    <row r="23" spans="2:14">
      <c r="B23" s="207"/>
      <c r="C23" s="206"/>
      <c r="D23" s="207"/>
      <c r="E23" s="207"/>
      <c r="F23" s="207"/>
      <c r="G23" s="85"/>
      <c r="H23" s="208"/>
      <c r="I23" s="85"/>
      <c r="J23" s="85"/>
      <c r="K23" s="207"/>
      <c r="L23" s="11" t="str">
        <f t="shared" si="2"/>
        <v/>
      </c>
      <c r="M23" s="11" t="str">
        <f t="shared" si="3"/>
        <v/>
      </c>
      <c r="N23" s="11" t="str">
        <f t="shared" si="4"/>
        <v/>
      </c>
    </row>
    <row r="24" spans="2:14">
      <c r="B24" s="207"/>
      <c r="C24" s="206"/>
      <c r="D24" s="207"/>
      <c r="E24" s="207"/>
      <c r="F24" s="207"/>
      <c r="G24" s="85"/>
      <c r="H24" s="208"/>
      <c r="I24" s="85"/>
      <c r="J24" s="85"/>
      <c r="K24" s="207"/>
      <c r="L24" s="11" t="str">
        <f t="shared" si="2"/>
        <v/>
      </c>
      <c r="M24" s="11" t="str">
        <f t="shared" si="3"/>
        <v/>
      </c>
      <c r="N24" s="11" t="str">
        <f t="shared" si="4"/>
        <v/>
      </c>
    </row>
    <row r="25" spans="2:14">
      <c r="B25" s="207"/>
      <c r="C25" s="210"/>
      <c r="D25" s="207"/>
      <c r="E25" s="207"/>
      <c r="F25" s="207"/>
      <c r="G25" s="85"/>
      <c r="H25" s="208"/>
      <c r="I25" s="85"/>
      <c r="J25" s="85"/>
      <c r="K25" s="207"/>
      <c r="L25" s="11" t="str">
        <f t="shared" si="2"/>
        <v/>
      </c>
      <c r="M25" s="11" t="str">
        <f t="shared" si="3"/>
        <v/>
      </c>
      <c r="N25" s="11" t="str">
        <f t="shared" si="4"/>
        <v/>
      </c>
    </row>
    <row r="26" spans="2:14">
      <c r="B26" s="207"/>
      <c r="C26" s="210"/>
      <c r="D26" s="207"/>
      <c r="E26" s="207"/>
      <c r="F26" s="207"/>
      <c r="G26" s="85"/>
      <c r="H26" s="208"/>
      <c r="I26" s="85"/>
      <c r="J26" s="85"/>
      <c r="K26" s="207"/>
      <c r="L26" s="11" t="str">
        <f t="shared" si="2"/>
        <v/>
      </c>
      <c r="M26" s="11" t="str">
        <f t="shared" si="3"/>
        <v/>
      </c>
      <c r="N26" s="11" t="str">
        <f t="shared" si="4"/>
        <v/>
      </c>
    </row>
    <row r="27" spans="2:14">
      <c r="B27" s="207"/>
      <c r="C27" s="210"/>
      <c r="D27" s="207"/>
      <c r="E27" s="207"/>
      <c r="F27" s="207"/>
      <c r="G27" s="85"/>
      <c r="H27" s="208"/>
      <c r="I27" s="85"/>
      <c r="J27" s="85"/>
      <c r="K27" s="207"/>
      <c r="L27" s="11" t="str">
        <f t="shared" si="2"/>
        <v/>
      </c>
      <c r="M27" s="11" t="str">
        <f t="shared" si="3"/>
        <v/>
      </c>
      <c r="N27" s="11" t="str">
        <f t="shared" si="4"/>
        <v/>
      </c>
    </row>
    <row r="28" spans="2:14">
      <c r="B28" s="207"/>
      <c r="C28" s="210"/>
      <c r="D28" s="207"/>
      <c r="E28" s="207"/>
      <c r="F28" s="207"/>
      <c r="G28" s="85"/>
      <c r="H28" s="208"/>
      <c r="I28" s="85"/>
      <c r="J28" s="85"/>
      <c r="K28" s="207"/>
      <c r="L28" s="11" t="str">
        <f t="shared" si="2"/>
        <v/>
      </c>
      <c r="M28" s="11" t="str">
        <f t="shared" si="3"/>
        <v/>
      </c>
      <c r="N28" s="11" t="str">
        <f t="shared" si="4"/>
        <v/>
      </c>
    </row>
    <row r="29" spans="2:14">
      <c r="B29" s="207"/>
      <c r="C29" s="210"/>
      <c r="D29" s="207"/>
      <c r="E29" s="207"/>
      <c r="F29" s="207"/>
      <c r="G29" s="85"/>
      <c r="H29" s="208"/>
      <c r="I29" s="85"/>
      <c r="J29" s="85"/>
      <c r="K29" s="207"/>
      <c r="L29" s="11" t="str">
        <f t="shared" si="2"/>
        <v/>
      </c>
      <c r="M29" s="11" t="str">
        <f t="shared" si="3"/>
        <v/>
      </c>
      <c r="N29" s="11" t="str">
        <f t="shared" si="4"/>
        <v/>
      </c>
    </row>
    <row r="30" spans="2:14">
      <c r="B30" s="207"/>
      <c r="C30" s="210"/>
      <c r="D30" s="207"/>
      <c r="E30" s="207"/>
      <c r="F30" s="207"/>
      <c r="G30" s="85"/>
      <c r="H30" s="208"/>
      <c r="I30" s="85"/>
      <c r="J30" s="85"/>
      <c r="K30" s="207"/>
      <c r="L30" s="11" t="str">
        <f t="shared" si="2"/>
        <v/>
      </c>
      <c r="M30" s="11" t="str">
        <f t="shared" si="3"/>
        <v/>
      </c>
      <c r="N30" s="11" t="str">
        <f t="shared" si="4"/>
        <v/>
      </c>
    </row>
    <row r="31" spans="2:14">
      <c r="B31" s="207"/>
      <c r="C31" s="210"/>
      <c r="D31" s="207"/>
      <c r="E31" s="207"/>
      <c r="F31" s="207"/>
      <c r="G31" s="85"/>
      <c r="H31" s="208"/>
      <c r="I31" s="85"/>
      <c r="J31" s="85"/>
      <c r="K31" s="207"/>
      <c r="L31" s="11" t="str">
        <f t="shared" si="2"/>
        <v/>
      </c>
      <c r="M31" s="11" t="str">
        <f t="shared" si="3"/>
        <v/>
      </c>
      <c r="N31" s="11" t="str">
        <f t="shared" si="4"/>
        <v/>
      </c>
    </row>
    <row r="32" spans="2:14">
      <c r="B32" s="207"/>
      <c r="C32" s="210"/>
      <c r="D32" s="207"/>
      <c r="E32" s="207"/>
      <c r="F32" s="207"/>
      <c r="G32" s="85"/>
      <c r="H32" s="208"/>
      <c r="I32" s="85"/>
      <c r="J32" s="85"/>
      <c r="K32" s="207"/>
      <c r="L32" s="11" t="str">
        <f t="shared" si="2"/>
        <v/>
      </c>
      <c r="M32" s="11" t="str">
        <f t="shared" si="3"/>
        <v/>
      </c>
      <c r="N32" s="11" t="str">
        <f t="shared" si="4"/>
        <v/>
      </c>
    </row>
    <row r="33" spans="2:14">
      <c r="B33" s="207"/>
      <c r="C33" s="210"/>
      <c r="D33" s="207"/>
      <c r="E33" s="207"/>
      <c r="F33" s="207"/>
      <c r="G33" s="85"/>
      <c r="H33" s="208"/>
      <c r="I33" s="85"/>
      <c r="J33" s="85"/>
      <c r="K33" s="207"/>
      <c r="L33" s="11" t="str">
        <f t="shared" si="2"/>
        <v/>
      </c>
      <c r="M33" s="11" t="str">
        <f t="shared" si="3"/>
        <v/>
      </c>
      <c r="N33" s="11" t="str">
        <f t="shared" si="4"/>
        <v/>
      </c>
    </row>
    <row r="34" spans="2:14">
      <c r="B34" s="207"/>
      <c r="C34" s="210"/>
      <c r="D34" s="207"/>
      <c r="E34" s="207"/>
      <c r="F34" s="207"/>
      <c r="G34" s="85"/>
      <c r="H34" s="208"/>
      <c r="I34" s="85"/>
      <c r="J34" s="85"/>
      <c r="K34" s="207"/>
      <c r="L34" s="11" t="str">
        <f t="shared" si="2"/>
        <v/>
      </c>
      <c r="M34" s="11" t="str">
        <f t="shared" si="3"/>
        <v/>
      </c>
      <c r="N34" s="11" t="str">
        <f t="shared" si="4"/>
        <v/>
      </c>
    </row>
    <row r="35" spans="2:14">
      <c r="B35" s="207"/>
      <c r="C35" s="210"/>
      <c r="D35" s="207"/>
      <c r="E35" s="207"/>
      <c r="F35" s="207"/>
      <c r="G35" s="85"/>
      <c r="H35" s="208"/>
      <c r="I35" s="85"/>
      <c r="J35" s="85"/>
      <c r="K35" s="207"/>
      <c r="L35" s="11" t="str">
        <f t="shared" si="2"/>
        <v/>
      </c>
      <c r="M35" s="11" t="str">
        <f t="shared" si="3"/>
        <v/>
      </c>
      <c r="N35" s="197" t="str">
        <f t="shared" si="4"/>
        <v/>
      </c>
    </row>
    <row r="36" spans="2:14">
      <c r="B36" s="207"/>
      <c r="C36" s="210"/>
      <c r="D36" s="207"/>
      <c r="E36" s="207"/>
      <c r="F36" s="207"/>
      <c r="G36" s="85"/>
      <c r="H36" s="208"/>
      <c r="I36" s="85"/>
      <c r="J36" s="85"/>
      <c r="K36" s="207"/>
      <c r="L36" s="11" t="str">
        <f t="shared" si="2"/>
        <v/>
      </c>
      <c r="M36" s="11" t="str">
        <f t="shared" si="3"/>
        <v/>
      </c>
      <c r="N36" s="197" t="str">
        <f t="shared" si="4"/>
        <v/>
      </c>
    </row>
    <row r="37" spans="2:14">
      <c r="B37" s="207"/>
      <c r="C37" s="210"/>
      <c r="D37" s="207"/>
      <c r="E37" s="207"/>
      <c r="F37" s="207"/>
      <c r="G37" s="85"/>
      <c r="H37" s="208"/>
      <c r="I37" s="85"/>
      <c r="J37" s="85"/>
      <c r="K37" s="207"/>
      <c r="L37" s="11" t="str">
        <f t="shared" si="2"/>
        <v/>
      </c>
      <c r="M37" s="11" t="str">
        <f t="shared" si="3"/>
        <v/>
      </c>
      <c r="N37" s="197" t="str">
        <f t="shared" si="4"/>
        <v/>
      </c>
    </row>
    <row r="38" spans="2:14">
      <c r="B38" s="207"/>
      <c r="C38" s="210"/>
      <c r="D38" s="207"/>
      <c r="E38" s="207"/>
      <c r="F38" s="207"/>
      <c r="G38" s="85"/>
      <c r="H38" s="208"/>
      <c r="I38" s="85"/>
      <c r="J38" s="85"/>
      <c r="K38" s="207"/>
      <c r="L38" s="11" t="str">
        <f t="shared" si="2"/>
        <v/>
      </c>
      <c r="M38" s="11" t="str">
        <f t="shared" si="3"/>
        <v/>
      </c>
      <c r="N38" s="197" t="str">
        <f t="shared" si="4"/>
        <v/>
      </c>
    </row>
    <row r="39" spans="2:14">
      <c r="B39" s="207"/>
      <c r="C39" s="210"/>
      <c r="D39" s="207"/>
      <c r="E39" s="207"/>
      <c r="F39" s="207"/>
      <c r="G39" s="85"/>
      <c r="H39" s="208"/>
      <c r="I39" s="85"/>
      <c r="J39" s="85"/>
      <c r="K39" s="207"/>
      <c r="L39" s="11" t="str">
        <f t="shared" si="2"/>
        <v/>
      </c>
      <c r="M39" s="11" t="str">
        <f t="shared" si="3"/>
        <v/>
      </c>
      <c r="N39" s="197" t="str">
        <f t="shared" si="4"/>
        <v/>
      </c>
    </row>
    <row r="40" spans="2:14">
      <c r="B40" s="207"/>
      <c r="C40" s="210"/>
      <c r="D40" s="207"/>
      <c r="E40" s="207"/>
      <c r="F40" s="207"/>
      <c r="G40" s="85"/>
      <c r="H40" s="208"/>
      <c r="I40" s="85"/>
      <c r="J40" s="85"/>
      <c r="K40" s="207"/>
      <c r="L40" s="11" t="str">
        <f t="shared" si="2"/>
        <v/>
      </c>
      <c r="M40" s="11" t="str">
        <f t="shared" si="3"/>
        <v/>
      </c>
      <c r="N40" s="197" t="str">
        <f t="shared" si="4"/>
        <v/>
      </c>
    </row>
    <row r="41" spans="2:14">
      <c r="B41" s="207"/>
      <c r="C41" s="210"/>
      <c r="D41" s="207"/>
      <c r="E41" s="207"/>
      <c r="F41" s="207"/>
      <c r="G41" s="85"/>
      <c r="H41" s="208"/>
      <c r="I41" s="85"/>
      <c r="J41" s="85"/>
      <c r="K41" s="207"/>
      <c r="L41" s="11" t="str">
        <f t="shared" ref="L41:L76" si="5">IF(C41="","",MONTH(C41))</f>
        <v/>
      </c>
      <c r="M41" s="11" t="str">
        <f t="shared" ref="M41:M76" si="6">IF(C41="","",YEAR(C41))</f>
        <v/>
      </c>
      <c r="N41" s="197" t="str">
        <f t="shared" ref="N41:N76" si="7">IF(C41="","",DAY(C41))</f>
        <v/>
      </c>
    </row>
    <row r="42" spans="2:14">
      <c r="B42" s="207"/>
      <c r="C42" s="210"/>
      <c r="D42" s="207"/>
      <c r="E42" s="207"/>
      <c r="F42" s="207"/>
      <c r="G42" s="85"/>
      <c r="H42" s="208"/>
      <c r="I42" s="85"/>
      <c r="J42" s="85"/>
      <c r="K42" s="207"/>
      <c r="L42" s="11" t="str">
        <f t="shared" si="5"/>
        <v/>
      </c>
      <c r="M42" s="11" t="str">
        <f t="shared" si="6"/>
        <v/>
      </c>
      <c r="N42" s="197" t="str">
        <f t="shared" si="7"/>
        <v/>
      </c>
    </row>
    <row r="43" spans="2:14">
      <c r="B43" s="207"/>
      <c r="C43" s="210"/>
      <c r="D43" s="207"/>
      <c r="E43" s="207"/>
      <c r="F43" s="207"/>
      <c r="G43" s="85"/>
      <c r="H43" s="208"/>
      <c r="I43" s="85"/>
      <c r="J43" s="85"/>
      <c r="K43" s="207"/>
      <c r="L43" s="11" t="str">
        <f t="shared" si="5"/>
        <v/>
      </c>
      <c r="M43" s="11" t="str">
        <f t="shared" si="6"/>
        <v/>
      </c>
      <c r="N43" s="197" t="str">
        <f t="shared" si="7"/>
        <v/>
      </c>
    </row>
    <row r="44" spans="2:14">
      <c r="B44" s="207"/>
      <c r="C44" s="210"/>
      <c r="D44" s="207"/>
      <c r="E44" s="207"/>
      <c r="F44" s="207"/>
      <c r="G44" s="85"/>
      <c r="H44" s="208"/>
      <c r="I44" s="85"/>
      <c r="J44" s="85"/>
      <c r="K44" s="207"/>
      <c r="L44" s="11" t="str">
        <f t="shared" si="5"/>
        <v/>
      </c>
      <c r="M44" s="11" t="str">
        <f t="shared" si="6"/>
        <v/>
      </c>
      <c r="N44" s="197" t="str">
        <f t="shared" si="7"/>
        <v/>
      </c>
    </row>
    <row r="45" spans="2:14">
      <c r="B45" s="207"/>
      <c r="C45" s="210"/>
      <c r="D45" s="207"/>
      <c r="E45" s="207"/>
      <c r="F45" s="207"/>
      <c r="G45" s="85"/>
      <c r="H45" s="208"/>
      <c r="I45" s="85"/>
      <c r="J45" s="85"/>
      <c r="K45" s="207"/>
      <c r="L45" s="11" t="str">
        <f t="shared" si="5"/>
        <v/>
      </c>
      <c r="M45" s="11" t="str">
        <f t="shared" si="6"/>
        <v/>
      </c>
      <c r="N45" s="197" t="str">
        <f t="shared" si="7"/>
        <v/>
      </c>
    </row>
    <row r="46" spans="2:14">
      <c r="B46" s="207"/>
      <c r="C46" s="210"/>
      <c r="D46" s="207"/>
      <c r="E46" s="207"/>
      <c r="F46" s="207"/>
      <c r="G46" s="85"/>
      <c r="H46" s="208"/>
      <c r="I46" s="85"/>
      <c r="J46" s="85"/>
      <c r="K46" s="207"/>
      <c r="L46" s="11" t="str">
        <f t="shared" si="5"/>
        <v/>
      </c>
      <c r="M46" s="11" t="str">
        <f t="shared" si="6"/>
        <v/>
      </c>
      <c r="N46" s="197" t="str">
        <f t="shared" si="7"/>
        <v/>
      </c>
    </row>
    <row r="47" spans="2:14">
      <c r="B47" s="207"/>
      <c r="C47" s="210"/>
      <c r="D47" s="207"/>
      <c r="E47" s="207"/>
      <c r="F47" s="207"/>
      <c r="G47" s="85"/>
      <c r="H47" s="208"/>
      <c r="I47" s="85"/>
      <c r="J47" s="85"/>
      <c r="K47" s="207"/>
      <c r="L47" s="11" t="str">
        <f t="shared" si="5"/>
        <v/>
      </c>
      <c r="M47" s="11" t="str">
        <f t="shared" si="6"/>
        <v/>
      </c>
      <c r="N47" s="197" t="str">
        <f t="shared" si="7"/>
        <v/>
      </c>
    </row>
    <row r="48" spans="2:14">
      <c r="B48" s="207"/>
      <c r="C48" s="210"/>
      <c r="D48" s="207"/>
      <c r="E48" s="207"/>
      <c r="F48" s="207"/>
      <c r="G48" s="85"/>
      <c r="H48" s="208"/>
      <c r="I48" s="85"/>
      <c r="J48" s="85"/>
      <c r="K48" s="207"/>
      <c r="L48" s="11" t="str">
        <f t="shared" si="5"/>
        <v/>
      </c>
      <c r="M48" s="11" t="str">
        <f t="shared" si="6"/>
        <v/>
      </c>
      <c r="N48" s="11" t="str">
        <f t="shared" si="7"/>
        <v/>
      </c>
    </row>
    <row r="49" spans="2:14">
      <c r="B49" s="207"/>
      <c r="C49" s="210"/>
      <c r="D49" s="207"/>
      <c r="E49" s="207"/>
      <c r="F49" s="207"/>
      <c r="G49" s="85"/>
      <c r="H49" s="208"/>
      <c r="I49" s="85"/>
      <c r="J49" s="85"/>
      <c r="K49" s="207"/>
      <c r="L49" s="11" t="str">
        <f t="shared" si="5"/>
        <v/>
      </c>
      <c r="M49" s="11" t="str">
        <f t="shared" si="6"/>
        <v/>
      </c>
      <c r="N49" s="11" t="str">
        <f t="shared" si="7"/>
        <v/>
      </c>
    </row>
    <row r="50" spans="2:14">
      <c r="B50" s="207"/>
      <c r="C50" s="210"/>
      <c r="D50" s="207"/>
      <c r="E50" s="207"/>
      <c r="F50" s="207"/>
      <c r="G50" s="85"/>
      <c r="H50" s="208"/>
      <c r="I50" s="85"/>
      <c r="J50" s="85"/>
      <c r="K50" s="207"/>
      <c r="L50" s="11" t="str">
        <f t="shared" si="5"/>
        <v/>
      </c>
      <c r="M50" s="11" t="str">
        <f t="shared" si="6"/>
        <v/>
      </c>
      <c r="N50" s="11" t="str">
        <f t="shared" si="7"/>
        <v/>
      </c>
    </row>
    <row r="51" spans="2:14">
      <c r="B51" s="207"/>
      <c r="C51" s="210"/>
      <c r="D51" s="207"/>
      <c r="E51" s="207"/>
      <c r="F51" s="207"/>
      <c r="G51" s="85"/>
      <c r="H51" s="208"/>
      <c r="I51" s="85"/>
      <c r="J51" s="85"/>
      <c r="K51" s="207"/>
      <c r="L51" s="11" t="str">
        <f t="shared" si="5"/>
        <v/>
      </c>
      <c r="M51" s="11" t="str">
        <f t="shared" si="6"/>
        <v/>
      </c>
      <c r="N51" s="11" t="str">
        <f t="shared" si="7"/>
        <v/>
      </c>
    </row>
    <row r="52" spans="2:14">
      <c r="B52" s="207"/>
      <c r="C52" s="210"/>
      <c r="D52" s="207"/>
      <c r="E52" s="207"/>
      <c r="F52" s="207"/>
      <c r="G52" s="85"/>
      <c r="H52" s="208"/>
      <c r="I52" s="85"/>
      <c r="J52" s="85"/>
      <c r="K52" s="207"/>
      <c r="L52" s="11" t="str">
        <f t="shared" si="5"/>
        <v/>
      </c>
      <c r="M52" s="11" t="str">
        <f t="shared" si="6"/>
        <v/>
      </c>
      <c r="N52" s="11" t="str">
        <f t="shared" si="7"/>
        <v/>
      </c>
    </row>
    <row r="53" spans="2:14">
      <c r="B53" s="207"/>
      <c r="C53" s="210"/>
      <c r="D53" s="207"/>
      <c r="E53" s="207"/>
      <c r="F53" s="207"/>
      <c r="G53" s="85"/>
      <c r="H53" s="208"/>
      <c r="I53" s="85"/>
      <c r="J53" s="85"/>
      <c r="K53" s="207"/>
      <c r="L53" s="11" t="str">
        <f t="shared" si="5"/>
        <v/>
      </c>
      <c r="M53" s="11" t="str">
        <f t="shared" si="6"/>
        <v/>
      </c>
      <c r="N53" s="11" t="str">
        <f t="shared" si="7"/>
        <v/>
      </c>
    </row>
    <row r="54" spans="2:14">
      <c r="B54" s="207"/>
      <c r="C54" s="210"/>
      <c r="D54" s="207"/>
      <c r="E54" s="207"/>
      <c r="F54" s="207"/>
      <c r="G54" s="85"/>
      <c r="H54" s="208"/>
      <c r="I54" s="85"/>
      <c r="J54" s="85"/>
      <c r="K54" s="207"/>
      <c r="L54" s="11" t="str">
        <f t="shared" si="5"/>
        <v/>
      </c>
      <c r="M54" s="11" t="str">
        <f t="shared" si="6"/>
        <v/>
      </c>
      <c r="N54" s="11" t="str">
        <f t="shared" si="7"/>
        <v/>
      </c>
    </row>
    <row r="55" spans="2:14">
      <c r="B55" s="207"/>
      <c r="C55" s="210"/>
      <c r="D55" s="207"/>
      <c r="E55" s="207"/>
      <c r="F55" s="207"/>
      <c r="G55" s="85"/>
      <c r="H55" s="208"/>
      <c r="I55" s="85"/>
      <c r="J55" s="85"/>
      <c r="K55" s="207"/>
      <c r="L55" s="11" t="str">
        <f t="shared" si="5"/>
        <v/>
      </c>
      <c r="M55" s="11" t="str">
        <f t="shared" si="6"/>
        <v/>
      </c>
      <c r="N55" s="11" t="str">
        <f t="shared" si="7"/>
        <v/>
      </c>
    </row>
    <row r="56" spans="2:14">
      <c r="B56" s="207"/>
      <c r="C56" s="210"/>
      <c r="D56" s="207"/>
      <c r="E56" s="207"/>
      <c r="F56" s="207"/>
      <c r="G56" s="85"/>
      <c r="H56" s="208"/>
      <c r="I56" s="85"/>
      <c r="J56" s="85"/>
      <c r="K56" s="207"/>
      <c r="L56" s="11" t="str">
        <f t="shared" si="5"/>
        <v/>
      </c>
      <c r="M56" s="11" t="str">
        <f t="shared" si="6"/>
        <v/>
      </c>
      <c r="N56" s="11" t="str">
        <f t="shared" si="7"/>
        <v/>
      </c>
    </row>
    <row r="57" spans="2:14">
      <c r="B57" s="207"/>
      <c r="C57" s="210"/>
      <c r="D57" s="207"/>
      <c r="E57" s="207"/>
      <c r="F57" s="207"/>
      <c r="G57" s="85"/>
      <c r="H57" s="208"/>
      <c r="I57" s="85"/>
      <c r="J57" s="85"/>
      <c r="K57" s="207"/>
      <c r="L57" s="11" t="str">
        <f t="shared" si="5"/>
        <v/>
      </c>
      <c r="M57" s="11" t="str">
        <f t="shared" si="6"/>
        <v/>
      </c>
      <c r="N57" s="11" t="str">
        <f t="shared" si="7"/>
        <v/>
      </c>
    </row>
    <row r="58" spans="2:14">
      <c r="B58" s="207"/>
      <c r="C58" s="210"/>
      <c r="D58" s="207"/>
      <c r="E58" s="207"/>
      <c r="F58" s="207"/>
      <c r="G58" s="85"/>
      <c r="H58" s="208"/>
      <c r="I58" s="85"/>
      <c r="J58" s="85"/>
      <c r="K58" s="207"/>
      <c r="L58" s="11" t="str">
        <f t="shared" si="5"/>
        <v/>
      </c>
      <c r="M58" s="11" t="str">
        <f t="shared" si="6"/>
        <v/>
      </c>
      <c r="N58" s="11" t="str">
        <f t="shared" si="7"/>
        <v/>
      </c>
    </row>
    <row r="59" spans="2:14">
      <c r="B59" s="207"/>
      <c r="C59" s="210"/>
      <c r="D59" s="207"/>
      <c r="E59" s="207"/>
      <c r="F59" s="207"/>
      <c r="G59" s="85"/>
      <c r="H59" s="208"/>
      <c r="I59" s="85"/>
      <c r="J59" s="85"/>
      <c r="K59" s="207"/>
      <c r="L59" s="11" t="str">
        <f t="shared" si="5"/>
        <v/>
      </c>
      <c r="M59" s="11" t="str">
        <f t="shared" si="6"/>
        <v/>
      </c>
      <c r="N59" s="11" t="str">
        <f t="shared" si="7"/>
        <v/>
      </c>
    </row>
    <row r="60" spans="2:14">
      <c r="B60" s="207"/>
      <c r="C60" s="210"/>
      <c r="D60" s="207"/>
      <c r="E60" s="207"/>
      <c r="F60" s="207"/>
      <c r="G60" s="85"/>
      <c r="H60" s="208"/>
      <c r="I60" s="85"/>
      <c r="J60" s="85"/>
      <c r="K60" s="207"/>
      <c r="L60" s="11" t="str">
        <f t="shared" si="5"/>
        <v/>
      </c>
      <c r="M60" s="11" t="str">
        <f t="shared" si="6"/>
        <v/>
      </c>
      <c r="N60" s="11" t="str">
        <f t="shared" si="7"/>
        <v/>
      </c>
    </row>
    <row r="61" spans="2:14">
      <c r="B61" s="207"/>
      <c r="C61" s="210"/>
      <c r="D61" s="207"/>
      <c r="E61" s="207"/>
      <c r="F61" s="207"/>
      <c r="G61" s="85"/>
      <c r="H61" s="208"/>
      <c r="I61" s="85"/>
      <c r="J61" s="85"/>
      <c r="K61" s="207"/>
      <c r="L61" s="11" t="str">
        <f t="shared" si="5"/>
        <v/>
      </c>
      <c r="M61" s="11" t="str">
        <f t="shared" si="6"/>
        <v/>
      </c>
      <c r="N61" s="11" t="str">
        <f t="shared" si="7"/>
        <v/>
      </c>
    </row>
    <row r="62" spans="2:14" ht="25.15" customHeight="1">
      <c r="B62" s="207"/>
      <c r="C62" s="210"/>
      <c r="D62" s="207"/>
      <c r="E62" s="207"/>
      <c r="F62" s="207"/>
      <c r="G62" s="85"/>
      <c r="H62" s="208"/>
      <c r="I62" s="85"/>
      <c r="J62" s="85"/>
      <c r="K62" s="207"/>
      <c r="L62" s="11" t="str">
        <f t="shared" si="5"/>
        <v/>
      </c>
      <c r="M62" s="11" t="str">
        <f t="shared" si="6"/>
        <v/>
      </c>
      <c r="N62" s="11" t="str">
        <f t="shared" si="7"/>
        <v/>
      </c>
    </row>
    <row r="63" spans="2:14" ht="22.15" customHeight="1">
      <c r="B63" s="207"/>
      <c r="C63" s="210"/>
      <c r="D63" s="207"/>
      <c r="E63" s="207"/>
      <c r="F63" s="207"/>
      <c r="G63" s="85"/>
      <c r="H63" s="208"/>
      <c r="I63" s="85"/>
      <c r="J63" s="85"/>
      <c r="K63" s="207"/>
      <c r="L63" s="11" t="str">
        <f t="shared" si="5"/>
        <v/>
      </c>
      <c r="M63" s="11" t="str">
        <f t="shared" si="6"/>
        <v/>
      </c>
      <c r="N63" s="11" t="str">
        <f t="shared" si="7"/>
        <v/>
      </c>
    </row>
    <row r="64" spans="2:14" ht="22.9" customHeight="1">
      <c r="B64" s="207"/>
      <c r="C64" s="210"/>
      <c r="D64" s="207"/>
      <c r="E64" s="207"/>
      <c r="F64" s="207"/>
      <c r="G64" s="85"/>
      <c r="H64" s="208"/>
      <c r="I64" s="85"/>
      <c r="J64" s="85"/>
      <c r="K64" s="207"/>
      <c r="L64" s="11" t="str">
        <f t="shared" si="5"/>
        <v/>
      </c>
      <c r="M64" s="11" t="str">
        <f t="shared" si="6"/>
        <v/>
      </c>
      <c r="N64" s="11" t="str">
        <f t="shared" si="7"/>
        <v/>
      </c>
    </row>
    <row r="65" spans="2:14">
      <c r="B65" s="207"/>
      <c r="C65" s="210"/>
      <c r="D65" s="207"/>
      <c r="E65" s="207"/>
      <c r="F65" s="207"/>
      <c r="G65" s="85"/>
      <c r="H65" s="208"/>
      <c r="I65" s="85"/>
      <c r="J65" s="85"/>
      <c r="K65" s="207"/>
      <c r="L65" s="11" t="str">
        <f t="shared" si="5"/>
        <v/>
      </c>
      <c r="M65" s="11" t="str">
        <f t="shared" si="6"/>
        <v/>
      </c>
      <c r="N65" s="11" t="str">
        <f t="shared" si="7"/>
        <v/>
      </c>
    </row>
    <row r="66" spans="2:14">
      <c r="B66" s="207"/>
      <c r="C66" s="210"/>
      <c r="D66" s="207"/>
      <c r="E66" s="207"/>
      <c r="F66" s="207"/>
      <c r="G66" s="85"/>
      <c r="H66" s="208"/>
      <c r="I66" s="85"/>
      <c r="J66" s="85"/>
      <c r="K66" s="207"/>
      <c r="L66" s="11" t="str">
        <f t="shared" si="5"/>
        <v/>
      </c>
      <c r="M66" s="11" t="str">
        <f t="shared" si="6"/>
        <v/>
      </c>
      <c r="N66" s="11" t="str">
        <f t="shared" si="7"/>
        <v/>
      </c>
    </row>
    <row r="67" spans="2:14">
      <c r="B67" s="207"/>
      <c r="C67" s="210"/>
      <c r="D67" s="207"/>
      <c r="E67" s="207"/>
      <c r="F67" s="207"/>
      <c r="G67" s="85"/>
      <c r="H67" s="208"/>
      <c r="I67" s="85"/>
      <c r="J67" s="85"/>
      <c r="K67" s="207"/>
      <c r="L67" s="11" t="str">
        <f t="shared" si="5"/>
        <v/>
      </c>
      <c r="M67" s="11" t="str">
        <f t="shared" si="6"/>
        <v/>
      </c>
      <c r="N67" s="11" t="str">
        <f t="shared" si="7"/>
        <v/>
      </c>
    </row>
    <row r="68" spans="2:14">
      <c r="B68" s="207"/>
      <c r="C68" s="210"/>
      <c r="D68" s="207"/>
      <c r="E68" s="207"/>
      <c r="F68" s="207"/>
      <c r="G68" s="85"/>
      <c r="H68" s="208"/>
      <c r="I68" s="85"/>
      <c r="J68" s="85"/>
      <c r="K68" s="207"/>
      <c r="L68" s="11" t="str">
        <f t="shared" si="5"/>
        <v/>
      </c>
      <c r="M68" s="11" t="str">
        <f t="shared" si="6"/>
        <v/>
      </c>
      <c r="N68" s="11" t="str">
        <f t="shared" si="7"/>
        <v/>
      </c>
    </row>
    <row r="69" spans="2:14">
      <c r="B69" s="207"/>
      <c r="C69" s="210"/>
      <c r="D69" s="207"/>
      <c r="E69" s="207"/>
      <c r="F69" s="207"/>
      <c r="G69" s="85"/>
      <c r="H69" s="208"/>
      <c r="I69" s="85"/>
      <c r="J69" s="85"/>
      <c r="K69" s="207"/>
      <c r="L69" s="11" t="str">
        <f t="shared" si="5"/>
        <v/>
      </c>
      <c r="M69" s="11" t="str">
        <f t="shared" si="6"/>
        <v/>
      </c>
      <c r="N69" s="11" t="str">
        <f t="shared" si="7"/>
        <v/>
      </c>
    </row>
    <row r="70" spans="2:14">
      <c r="B70" s="207"/>
      <c r="C70" s="210"/>
      <c r="D70" s="207"/>
      <c r="E70" s="207"/>
      <c r="F70" s="207"/>
      <c r="G70" s="85"/>
      <c r="H70" s="208"/>
      <c r="I70" s="85"/>
      <c r="J70" s="85"/>
      <c r="K70" s="207"/>
      <c r="L70" s="11" t="str">
        <f t="shared" si="5"/>
        <v/>
      </c>
      <c r="M70" s="11" t="str">
        <f t="shared" si="6"/>
        <v/>
      </c>
      <c r="N70" s="11" t="str">
        <f t="shared" si="7"/>
        <v/>
      </c>
    </row>
    <row r="71" spans="2:14">
      <c r="B71" s="207"/>
      <c r="C71" s="210"/>
      <c r="D71" s="207"/>
      <c r="E71" s="207"/>
      <c r="F71" s="207"/>
      <c r="G71" s="85"/>
      <c r="H71" s="208"/>
      <c r="I71" s="85"/>
      <c r="J71" s="85"/>
      <c r="K71" s="207"/>
      <c r="L71" s="11" t="str">
        <f t="shared" si="5"/>
        <v/>
      </c>
      <c r="M71" s="11" t="str">
        <f t="shared" si="6"/>
        <v/>
      </c>
      <c r="N71" s="11" t="str">
        <f t="shared" si="7"/>
        <v/>
      </c>
    </row>
    <row r="72" spans="2:14">
      <c r="B72" s="207"/>
      <c r="C72" s="210"/>
      <c r="D72" s="207"/>
      <c r="E72" s="207"/>
      <c r="F72" s="207"/>
      <c r="G72" s="85"/>
      <c r="H72" s="208"/>
      <c r="I72" s="85"/>
      <c r="J72" s="85"/>
      <c r="K72" s="207"/>
      <c r="L72" s="11" t="str">
        <f t="shared" si="5"/>
        <v/>
      </c>
      <c r="M72" s="11" t="str">
        <f t="shared" si="6"/>
        <v/>
      </c>
      <c r="N72" s="197" t="str">
        <f t="shared" si="7"/>
        <v/>
      </c>
    </row>
    <row r="73" spans="2:14" ht="30" customHeight="1">
      <c r="B73" s="207"/>
      <c r="C73" s="210"/>
      <c r="D73" s="207"/>
      <c r="E73" s="207"/>
      <c r="F73" s="207"/>
      <c r="G73" s="85"/>
      <c r="H73" s="208"/>
      <c r="I73" s="85"/>
      <c r="J73" s="85"/>
      <c r="K73" s="207"/>
      <c r="L73" s="11" t="str">
        <f t="shared" si="5"/>
        <v/>
      </c>
      <c r="M73" s="11" t="str">
        <f t="shared" si="6"/>
        <v/>
      </c>
      <c r="N73" s="197" t="str">
        <f t="shared" si="7"/>
        <v/>
      </c>
    </row>
    <row r="74" spans="2:14" ht="30" customHeight="1">
      <c r="B74" s="197"/>
      <c r="C74" s="198"/>
      <c r="D74" s="197"/>
      <c r="E74" s="197"/>
      <c r="F74" s="197"/>
      <c r="G74" s="59"/>
      <c r="H74" s="17"/>
      <c r="I74" s="85"/>
      <c r="J74" s="85"/>
      <c r="K74" s="197"/>
      <c r="L74" s="197" t="str">
        <f t="shared" si="5"/>
        <v/>
      </c>
      <c r="M74" s="197" t="str">
        <f t="shared" si="6"/>
        <v/>
      </c>
      <c r="N74" s="197" t="str">
        <f t="shared" si="7"/>
        <v/>
      </c>
    </row>
    <row r="75" spans="2:14">
      <c r="B75" s="197"/>
      <c r="C75" s="229"/>
      <c r="D75" s="197"/>
      <c r="E75" s="197"/>
      <c r="F75" s="197"/>
      <c r="G75" s="59"/>
      <c r="H75" s="17"/>
      <c r="I75" s="85"/>
      <c r="J75" s="85"/>
      <c r="K75" s="197"/>
      <c r="L75" s="11" t="str">
        <f t="shared" si="5"/>
        <v/>
      </c>
      <c r="M75" s="11" t="str">
        <f t="shared" si="6"/>
        <v/>
      </c>
      <c r="N75" s="11" t="str">
        <f t="shared" si="7"/>
        <v/>
      </c>
    </row>
    <row r="76" spans="2:14">
      <c r="B76" s="211"/>
      <c r="C76" s="230"/>
      <c r="D76" s="211"/>
      <c r="E76" s="211"/>
      <c r="F76" s="211"/>
      <c r="G76" s="190"/>
      <c r="H76" s="53"/>
      <c r="I76" s="190"/>
      <c r="J76" s="190"/>
      <c r="K76" s="211"/>
      <c r="L76" s="11" t="str">
        <f t="shared" si="5"/>
        <v/>
      </c>
      <c r="M76" s="11" t="str">
        <f t="shared" si="6"/>
        <v/>
      </c>
      <c r="N76" s="11" t="str">
        <f t="shared" si="7"/>
        <v/>
      </c>
    </row>
    <row r="77" spans="2:14">
      <c r="B77" s="211"/>
      <c r="C77" s="230"/>
      <c r="D77" s="211"/>
      <c r="E77" s="211"/>
      <c r="F77" s="211"/>
      <c r="G77" s="190"/>
      <c r="H77" s="53"/>
      <c r="I77" s="190"/>
      <c r="J77" s="190"/>
      <c r="K77" s="211"/>
      <c r="L77" s="11" t="e">
        <f>IF(#REF!="","",MONTH(#REF!))</f>
        <v>#REF!</v>
      </c>
      <c r="M77" s="11" t="e">
        <f>IF(#REF!="","",YEAR(#REF!))</f>
        <v>#REF!</v>
      </c>
      <c r="N77" s="11" t="e">
        <f>IF(#REF!="","",DAY(#REF!))</f>
        <v>#REF!</v>
      </c>
    </row>
    <row r="78" spans="2:14">
      <c r="B78" s="211"/>
      <c r="C78" s="230"/>
      <c r="D78" s="211"/>
      <c r="E78" s="211"/>
      <c r="F78" s="211"/>
      <c r="G78" s="190"/>
      <c r="H78" s="53"/>
      <c r="I78" s="190"/>
      <c r="J78" s="190"/>
      <c r="K78" s="211"/>
      <c r="L78" s="11" t="str">
        <f t="shared" ref="L78:L109" si="8">IF(C78="","",MONTH(C78))</f>
        <v/>
      </c>
      <c r="M78" s="11" t="str">
        <f t="shared" ref="M78:M109" si="9">IF(C78="","",YEAR(C78))</f>
        <v/>
      </c>
      <c r="N78" s="11" t="str">
        <f t="shared" ref="N78:N109" si="10">IF(C78="","",DAY(C78))</f>
        <v/>
      </c>
    </row>
    <row r="79" spans="2:14">
      <c r="B79" s="211"/>
      <c r="C79" s="230"/>
      <c r="D79" s="211"/>
      <c r="E79" s="211"/>
      <c r="F79" s="211"/>
      <c r="G79" s="190"/>
      <c r="H79" s="53"/>
      <c r="I79" s="190"/>
      <c r="J79" s="190"/>
      <c r="K79" s="211"/>
      <c r="L79" s="11" t="str">
        <f t="shared" si="8"/>
        <v/>
      </c>
      <c r="M79" s="11" t="str">
        <f t="shared" si="9"/>
        <v/>
      </c>
      <c r="N79" s="11" t="str">
        <f t="shared" si="10"/>
        <v/>
      </c>
    </row>
    <row r="80" spans="2:14">
      <c r="B80" s="211"/>
      <c r="C80" s="230"/>
      <c r="D80" s="211"/>
      <c r="E80" s="211"/>
      <c r="F80" s="211"/>
      <c r="G80" s="190"/>
      <c r="H80" s="53"/>
      <c r="I80" s="190"/>
      <c r="J80" s="190"/>
      <c r="K80" s="211"/>
      <c r="L80" s="11" t="str">
        <f t="shared" si="8"/>
        <v/>
      </c>
      <c r="M80" s="11" t="str">
        <f t="shared" si="9"/>
        <v/>
      </c>
      <c r="N80" s="11" t="str">
        <f t="shared" si="10"/>
        <v/>
      </c>
    </row>
    <row r="81" spans="2:14">
      <c r="B81" s="211"/>
      <c r="C81" s="230"/>
      <c r="D81" s="211"/>
      <c r="E81" s="211"/>
      <c r="F81" s="211"/>
      <c r="G81" s="190"/>
      <c r="H81" s="53"/>
      <c r="I81" s="190"/>
      <c r="J81" s="190"/>
      <c r="K81" s="211"/>
      <c r="L81" s="11" t="str">
        <f t="shared" si="8"/>
        <v/>
      </c>
      <c r="M81" s="11" t="str">
        <f t="shared" si="9"/>
        <v/>
      </c>
      <c r="N81" s="11" t="str">
        <f t="shared" si="10"/>
        <v/>
      </c>
    </row>
    <row r="82" spans="2:14">
      <c r="B82" s="211"/>
      <c r="C82" s="230"/>
      <c r="D82" s="211"/>
      <c r="E82" s="211"/>
      <c r="F82" s="211"/>
      <c r="G82" s="190"/>
      <c r="H82" s="53"/>
      <c r="I82" s="190"/>
      <c r="J82" s="190"/>
      <c r="K82" s="211"/>
      <c r="L82" s="11" t="str">
        <f t="shared" si="8"/>
        <v/>
      </c>
      <c r="M82" s="11" t="str">
        <f t="shared" si="9"/>
        <v/>
      </c>
      <c r="N82" s="11" t="str">
        <f t="shared" si="10"/>
        <v/>
      </c>
    </row>
    <row r="83" spans="2:14">
      <c r="B83" s="211"/>
      <c r="C83" s="230"/>
      <c r="D83" s="211"/>
      <c r="E83" s="211"/>
      <c r="F83" s="211"/>
      <c r="G83" s="190"/>
      <c r="H83" s="53"/>
      <c r="I83" s="190"/>
      <c r="J83" s="190"/>
      <c r="K83" s="211"/>
      <c r="L83" s="11" t="str">
        <f t="shared" si="8"/>
        <v/>
      </c>
      <c r="M83" s="11" t="str">
        <f t="shared" si="9"/>
        <v/>
      </c>
      <c r="N83" s="11" t="str">
        <f t="shared" si="10"/>
        <v/>
      </c>
    </row>
    <row r="84" spans="2:14">
      <c r="B84" s="211"/>
      <c r="C84" s="230"/>
      <c r="D84" s="211"/>
      <c r="E84" s="211"/>
      <c r="F84" s="211"/>
      <c r="G84" s="190"/>
      <c r="H84" s="53"/>
      <c r="I84" s="190"/>
      <c r="J84" s="190"/>
      <c r="K84" s="211"/>
      <c r="L84" s="11" t="str">
        <f t="shared" si="8"/>
        <v/>
      </c>
      <c r="M84" s="11" t="str">
        <f t="shared" si="9"/>
        <v/>
      </c>
      <c r="N84" s="11" t="str">
        <f t="shared" si="10"/>
        <v/>
      </c>
    </row>
    <row r="85" spans="2:14">
      <c r="B85" s="211"/>
      <c r="C85" s="230"/>
      <c r="D85" s="211"/>
      <c r="E85" s="211"/>
      <c r="F85" s="211"/>
      <c r="G85" s="190"/>
      <c r="H85" s="53"/>
      <c r="I85" s="190"/>
      <c r="J85" s="190"/>
      <c r="K85" s="211"/>
      <c r="L85" s="11" t="str">
        <f t="shared" si="8"/>
        <v/>
      </c>
      <c r="M85" s="11" t="str">
        <f t="shared" si="9"/>
        <v/>
      </c>
      <c r="N85" s="11" t="str">
        <f t="shared" si="10"/>
        <v/>
      </c>
    </row>
    <row r="86" spans="2:14">
      <c r="B86" s="211"/>
      <c r="C86" s="230"/>
      <c r="D86" s="211"/>
      <c r="E86" s="211"/>
      <c r="F86" s="211"/>
      <c r="G86" s="190"/>
      <c r="H86" s="53"/>
      <c r="I86" s="190"/>
      <c r="J86" s="190"/>
      <c r="K86" s="211"/>
      <c r="L86" s="11" t="str">
        <f t="shared" si="8"/>
        <v/>
      </c>
      <c r="M86" s="11" t="str">
        <f t="shared" si="9"/>
        <v/>
      </c>
      <c r="N86" s="11" t="str">
        <f t="shared" si="10"/>
        <v/>
      </c>
    </row>
    <row r="87" spans="2:14">
      <c r="B87" s="211"/>
      <c r="C87" s="230"/>
      <c r="D87" s="211"/>
      <c r="E87" s="212"/>
      <c r="F87" s="211"/>
      <c r="G87" s="190"/>
      <c r="H87" s="53"/>
      <c r="I87" s="190"/>
      <c r="J87" s="190"/>
      <c r="K87" s="211"/>
      <c r="L87" s="11" t="str">
        <f t="shared" si="8"/>
        <v/>
      </c>
      <c r="M87" s="11" t="str">
        <f t="shared" si="9"/>
        <v/>
      </c>
      <c r="N87" s="11" t="str">
        <f t="shared" si="10"/>
        <v/>
      </c>
    </row>
    <row r="88" spans="2:14">
      <c r="B88" s="211"/>
      <c r="C88" s="230"/>
      <c r="D88" s="211"/>
      <c r="E88" s="211"/>
      <c r="F88" s="211"/>
      <c r="G88" s="190"/>
      <c r="H88" s="53"/>
      <c r="I88" s="190"/>
      <c r="J88" s="190"/>
      <c r="K88" s="211"/>
      <c r="L88" s="11" t="str">
        <f t="shared" si="8"/>
        <v/>
      </c>
      <c r="M88" s="11" t="str">
        <f t="shared" si="9"/>
        <v/>
      </c>
      <c r="N88" s="11" t="str">
        <f t="shared" si="10"/>
        <v/>
      </c>
    </row>
    <row r="89" spans="2:14">
      <c r="B89" s="211"/>
      <c r="C89" s="230"/>
      <c r="D89" s="211"/>
      <c r="E89" s="211"/>
      <c r="F89" s="211"/>
      <c r="G89" s="190"/>
      <c r="H89" s="53"/>
      <c r="I89" s="190"/>
      <c r="J89" s="190"/>
      <c r="K89" s="211"/>
      <c r="L89" s="11" t="str">
        <f t="shared" si="8"/>
        <v/>
      </c>
      <c r="M89" s="11" t="str">
        <f t="shared" si="9"/>
        <v/>
      </c>
      <c r="N89" s="11" t="str">
        <f t="shared" si="10"/>
        <v/>
      </c>
    </row>
    <row r="90" spans="2:14">
      <c r="B90" s="211"/>
      <c r="C90" s="230"/>
      <c r="D90" s="211"/>
      <c r="E90" s="211"/>
      <c r="F90" s="211"/>
      <c r="G90" s="190"/>
      <c r="H90" s="53"/>
      <c r="I90" s="190"/>
      <c r="J90" s="190"/>
      <c r="K90" s="211"/>
      <c r="L90" s="11" t="str">
        <f t="shared" si="8"/>
        <v/>
      </c>
      <c r="M90" s="11" t="str">
        <f t="shared" si="9"/>
        <v/>
      </c>
      <c r="N90" s="11" t="str">
        <f t="shared" si="10"/>
        <v/>
      </c>
    </row>
    <row r="91" spans="2:14">
      <c r="B91" s="211"/>
      <c r="C91" s="230"/>
      <c r="D91" s="211"/>
      <c r="E91" s="211"/>
      <c r="F91" s="211"/>
      <c r="G91" s="190"/>
      <c r="H91" s="53"/>
      <c r="I91" s="190"/>
      <c r="J91" s="190"/>
      <c r="K91" s="211"/>
      <c r="L91" s="11" t="str">
        <f t="shared" si="8"/>
        <v/>
      </c>
      <c r="M91" s="11" t="str">
        <f t="shared" si="9"/>
        <v/>
      </c>
      <c r="N91" s="11" t="str">
        <f t="shared" si="10"/>
        <v/>
      </c>
    </row>
    <row r="92" spans="2:14">
      <c r="B92" s="211"/>
      <c r="C92" s="230"/>
      <c r="D92" s="211"/>
      <c r="E92" s="211"/>
      <c r="F92" s="211"/>
      <c r="G92" s="190"/>
      <c r="H92" s="53"/>
      <c r="I92" s="190"/>
      <c r="J92" s="190"/>
      <c r="K92" s="211"/>
      <c r="L92" s="11" t="str">
        <f t="shared" si="8"/>
        <v/>
      </c>
      <c r="M92" s="11" t="str">
        <f t="shared" si="9"/>
        <v/>
      </c>
      <c r="N92" s="11" t="str">
        <f t="shared" si="10"/>
        <v/>
      </c>
    </row>
    <row r="93" spans="2:14">
      <c r="B93" s="211"/>
      <c r="C93" s="230"/>
      <c r="D93" s="211"/>
      <c r="E93" s="211"/>
      <c r="F93" s="211"/>
      <c r="G93" s="190"/>
      <c r="H93" s="53"/>
      <c r="I93" s="190"/>
      <c r="J93" s="190"/>
      <c r="K93" s="211"/>
      <c r="L93" s="11" t="str">
        <f t="shared" si="8"/>
        <v/>
      </c>
      <c r="M93" s="11" t="str">
        <f t="shared" si="9"/>
        <v/>
      </c>
      <c r="N93" s="11" t="str">
        <f t="shared" si="10"/>
        <v/>
      </c>
    </row>
    <row r="94" spans="2:14">
      <c r="B94" s="211"/>
      <c r="C94" s="230"/>
      <c r="D94" s="211"/>
      <c r="E94" s="211"/>
      <c r="F94" s="211"/>
      <c r="G94" s="190"/>
      <c r="H94" s="53"/>
      <c r="I94" s="190"/>
      <c r="J94" s="190"/>
      <c r="K94" s="211"/>
      <c r="L94" s="11" t="str">
        <f t="shared" si="8"/>
        <v/>
      </c>
      <c r="M94" s="11" t="str">
        <f t="shared" si="9"/>
        <v/>
      </c>
      <c r="N94" s="11" t="str">
        <f t="shared" si="10"/>
        <v/>
      </c>
    </row>
    <row r="95" spans="2:14">
      <c r="B95" s="211"/>
      <c r="C95" s="230"/>
      <c r="D95" s="211"/>
      <c r="E95" s="211"/>
      <c r="F95" s="211"/>
      <c r="G95" s="190"/>
      <c r="H95" s="53"/>
      <c r="I95" s="190"/>
      <c r="J95" s="190"/>
      <c r="K95" s="211"/>
      <c r="L95" s="11" t="str">
        <f t="shared" si="8"/>
        <v/>
      </c>
      <c r="M95" s="11" t="str">
        <f t="shared" si="9"/>
        <v/>
      </c>
      <c r="N95" s="11" t="str">
        <f t="shared" si="10"/>
        <v/>
      </c>
    </row>
    <row r="96" spans="2:14">
      <c r="B96" s="211"/>
      <c r="C96" s="230"/>
      <c r="D96" s="211"/>
      <c r="E96" s="211"/>
      <c r="F96" s="211"/>
      <c r="G96" s="190"/>
      <c r="H96" s="53"/>
      <c r="I96" s="190"/>
      <c r="J96" s="190"/>
      <c r="K96" s="211"/>
      <c r="L96" s="11" t="str">
        <f t="shared" si="8"/>
        <v/>
      </c>
      <c r="M96" s="11" t="str">
        <f t="shared" si="9"/>
        <v/>
      </c>
      <c r="N96" s="11" t="str">
        <f t="shared" si="10"/>
        <v/>
      </c>
    </row>
    <row r="97" spans="2:14">
      <c r="B97" s="211"/>
      <c r="C97" s="230"/>
      <c r="D97" s="211"/>
      <c r="E97" s="211"/>
      <c r="F97" s="211"/>
      <c r="G97" s="190"/>
      <c r="H97" s="53"/>
      <c r="I97" s="190"/>
      <c r="J97" s="190"/>
      <c r="K97" s="211"/>
      <c r="L97" s="11" t="str">
        <f t="shared" si="8"/>
        <v/>
      </c>
      <c r="M97" s="11" t="str">
        <f t="shared" si="9"/>
        <v/>
      </c>
      <c r="N97" s="11" t="str">
        <f t="shared" si="10"/>
        <v/>
      </c>
    </row>
    <row r="98" spans="2:14">
      <c r="B98" s="211"/>
      <c r="C98" s="230"/>
      <c r="D98" s="211"/>
      <c r="E98" s="211"/>
      <c r="F98" s="211"/>
      <c r="G98" s="190"/>
      <c r="H98" s="53"/>
      <c r="I98" s="190"/>
      <c r="J98" s="190"/>
      <c r="K98" s="211"/>
      <c r="L98" s="11" t="str">
        <f t="shared" si="8"/>
        <v/>
      </c>
      <c r="M98" s="11" t="str">
        <f t="shared" si="9"/>
        <v/>
      </c>
      <c r="N98" s="11" t="str">
        <f t="shared" si="10"/>
        <v/>
      </c>
    </row>
    <row r="99" spans="2:14">
      <c r="B99" s="211"/>
      <c r="C99" s="230"/>
      <c r="D99" s="211"/>
      <c r="E99" s="211"/>
      <c r="F99" s="211"/>
      <c r="G99" s="190"/>
      <c r="H99" s="53"/>
      <c r="I99" s="190"/>
      <c r="J99" s="190"/>
      <c r="K99" s="211"/>
      <c r="L99" s="11" t="str">
        <f t="shared" si="8"/>
        <v/>
      </c>
      <c r="M99" s="11" t="str">
        <f t="shared" si="9"/>
        <v/>
      </c>
      <c r="N99" s="11" t="str">
        <f t="shared" si="10"/>
        <v/>
      </c>
    </row>
    <row r="100" spans="2:14">
      <c r="B100" s="211"/>
      <c r="C100" s="230"/>
      <c r="D100" s="211"/>
      <c r="E100" s="211"/>
      <c r="F100" s="211"/>
      <c r="G100" s="190"/>
      <c r="H100" s="53"/>
      <c r="I100" s="190"/>
      <c r="J100" s="190"/>
      <c r="K100" s="211"/>
      <c r="L100" s="11" t="str">
        <f t="shared" si="8"/>
        <v/>
      </c>
      <c r="M100" s="11" t="str">
        <f t="shared" si="9"/>
        <v/>
      </c>
      <c r="N100" s="11" t="str">
        <f t="shared" si="10"/>
        <v/>
      </c>
    </row>
    <row r="101" spans="2:14">
      <c r="B101" s="211"/>
      <c r="C101" s="230"/>
      <c r="D101" s="211"/>
      <c r="E101" s="211"/>
      <c r="F101" s="211"/>
      <c r="G101" s="190"/>
      <c r="H101" s="53"/>
      <c r="I101" s="190"/>
      <c r="J101" s="190"/>
      <c r="K101" s="211"/>
      <c r="L101" s="11" t="str">
        <f t="shared" si="8"/>
        <v/>
      </c>
      <c r="M101" s="11" t="str">
        <f t="shared" si="9"/>
        <v/>
      </c>
      <c r="N101" s="11" t="str">
        <f t="shared" si="10"/>
        <v/>
      </c>
    </row>
    <row r="102" spans="2:14">
      <c r="B102" s="211"/>
      <c r="C102" s="230"/>
      <c r="D102" s="211"/>
      <c r="E102" s="211"/>
      <c r="F102" s="211"/>
      <c r="G102" s="190"/>
      <c r="H102" s="53"/>
      <c r="I102" s="190"/>
      <c r="J102" s="190"/>
      <c r="K102" s="211"/>
      <c r="L102" s="11" t="str">
        <f t="shared" si="8"/>
        <v/>
      </c>
      <c r="M102" s="11" t="str">
        <f t="shared" si="9"/>
        <v/>
      </c>
      <c r="N102" s="11" t="str">
        <f t="shared" si="10"/>
        <v/>
      </c>
    </row>
    <row r="103" spans="2:14">
      <c r="B103" s="211"/>
      <c r="C103" s="230"/>
      <c r="D103" s="211"/>
      <c r="E103" s="211"/>
      <c r="F103" s="211"/>
      <c r="G103" s="190"/>
      <c r="H103" s="53"/>
      <c r="I103" s="190"/>
      <c r="J103" s="190"/>
      <c r="K103" s="211"/>
      <c r="L103" s="11" t="str">
        <f t="shared" si="8"/>
        <v/>
      </c>
      <c r="M103" s="11" t="str">
        <f t="shared" si="9"/>
        <v/>
      </c>
      <c r="N103" s="11" t="str">
        <f t="shared" si="10"/>
        <v/>
      </c>
    </row>
    <row r="104" spans="2:14">
      <c r="B104" s="211"/>
      <c r="C104" s="230"/>
      <c r="D104" s="211"/>
      <c r="E104" s="231"/>
      <c r="F104" s="211"/>
      <c r="G104" s="190"/>
      <c r="H104" s="53"/>
      <c r="I104" s="190"/>
      <c r="J104" s="190"/>
      <c r="K104" s="211"/>
      <c r="L104" s="11" t="str">
        <f t="shared" si="8"/>
        <v/>
      </c>
      <c r="M104" s="11" t="str">
        <f t="shared" si="9"/>
        <v/>
      </c>
      <c r="N104" s="11" t="str">
        <f t="shared" si="10"/>
        <v/>
      </c>
    </row>
    <row r="105" spans="2:14">
      <c r="B105" s="211"/>
      <c r="C105" s="230"/>
      <c r="D105" s="211"/>
      <c r="E105" s="211"/>
      <c r="F105" s="211"/>
      <c r="G105" s="190"/>
      <c r="H105" s="53"/>
      <c r="I105" s="190"/>
      <c r="J105" s="190"/>
      <c r="K105" s="211"/>
      <c r="L105" s="11" t="str">
        <f t="shared" si="8"/>
        <v/>
      </c>
      <c r="M105" s="11" t="str">
        <f t="shared" si="9"/>
        <v/>
      </c>
      <c r="N105" s="11" t="str">
        <f t="shared" si="10"/>
        <v/>
      </c>
    </row>
    <row r="106" spans="2:14">
      <c r="B106" s="211"/>
      <c r="C106" s="230"/>
      <c r="D106" s="211"/>
      <c r="E106" s="211"/>
      <c r="F106" s="211"/>
      <c r="G106" s="190"/>
      <c r="H106" s="53"/>
      <c r="I106" s="190"/>
      <c r="J106" s="190"/>
      <c r="K106" s="211"/>
      <c r="L106" s="11" t="str">
        <f t="shared" si="8"/>
        <v/>
      </c>
      <c r="M106" s="11" t="str">
        <f t="shared" si="9"/>
        <v/>
      </c>
      <c r="N106" s="11" t="str">
        <f t="shared" si="10"/>
        <v/>
      </c>
    </row>
    <row r="107" spans="2:14">
      <c r="B107" s="211"/>
      <c r="C107" s="230"/>
      <c r="D107" s="211"/>
      <c r="E107" s="211"/>
      <c r="F107" s="211"/>
      <c r="G107" s="190"/>
      <c r="H107" s="53"/>
      <c r="I107" s="190"/>
      <c r="J107" s="190"/>
      <c r="K107" s="211"/>
      <c r="L107" s="11" t="str">
        <f t="shared" si="8"/>
        <v/>
      </c>
      <c r="M107" s="11" t="str">
        <f t="shared" si="9"/>
        <v/>
      </c>
      <c r="N107" s="11" t="str">
        <f t="shared" si="10"/>
        <v/>
      </c>
    </row>
    <row r="108" spans="2:14">
      <c r="B108" s="211"/>
      <c r="C108" s="230"/>
      <c r="D108" s="211"/>
      <c r="E108" s="211"/>
      <c r="F108" s="211"/>
      <c r="G108" s="190"/>
      <c r="H108" s="53"/>
      <c r="I108" s="190"/>
      <c r="J108" s="190"/>
      <c r="K108" s="211"/>
      <c r="L108" s="11" t="str">
        <f t="shared" si="8"/>
        <v/>
      </c>
      <c r="M108" s="11" t="str">
        <f t="shared" si="9"/>
        <v/>
      </c>
      <c r="N108" s="11" t="str">
        <f t="shared" si="10"/>
        <v/>
      </c>
    </row>
    <row r="109" spans="2:14">
      <c r="B109" s="211"/>
      <c r="C109" s="230"/>
      <c r="D109" s="211"/>
      <c r="E109" s="211"/>
      <c r="F109" s="211"/>
      <c r="G109" s="190"/>
      <c r="H109" s="53"/>
      <c r="I109" s="190"/>
      <c r="J109" s="190"/>
      <c r="K109" s="211"/>
      <c r="L109" s="11" t="str">
        <f t="shared" si="8"/>
        <v/>
      </c>
      <c r="M109" s="11" t="str">
        <f t="shared" si="9"/>
        <v/>
      </c>
      <c r="N109" s="11" t="str">
        <f t="shared" si="10"/>
        <v/>
      </c>
    </row>
    <row r="110" spans="2:14">
      <c r="B110" s="211"/>
      <c r="C110" s="230"/>
      <c r="D110" s="211"/>
      <c r="E110" s="211"/>
      <c r="F110" s="211"/>
      <c r="G110" s="190"/>
      <c r="H110" s="53"/>
      <c r="I110" s="190"/>
      <c r="J110" s="190"/>
      <c r="K110" s="211"/>
      <c r="L110" s="11" t="str">
        <f t="shared" ref="L110:L141" si="11">IF(C110="","",MONTH(C110))</f>
        <v/>
      </c>
      <c r="M110" s="11" t="str">
        <f t="shared" ref="M110:M141" si="12">IF(C110="","",YEAR(C110))</f>
        <v/>
      </c>
      <c r="N110" s="11" t="str">
        <f t="shared" ref="N110:N141" si="13">IF(C110="","",DAY(C110))</f>
        <v/>
      </c>
    </row>
    <row r="111" spans="2:14">
      <c r="B111" s="211"/>
      <c r="C111" s="230"/>
      <c r="D111" s="211"/>
      <c r="E111" s="211"/>
      <c r="F111" s="211"/>
      <c r="G111" s="190"/>
      <c r="H111" s="53"/>
      <c r="I111" s="190"/>
      <c r="J111" s="190"/>
      <c r="K111" s="211"/>
      <c r="L111" s="11" t="str">
        <f t="shared" si="11"/>
        <v/>
      </c>
      <c r="M111" s="11" t="str">
        <f t="shared" si="12"/>
        <v/>
      </c>
      <c r="N111" s="11" t="str">
        <f t="shared" si="13"/>
        <v/>
      </c>
    </row>
    <row r="112" spans="2:14">
      <c r="B112" s="211"/>
      <c r="C112" s="230"/>
      <c r="D112" s="211"/>
      <c r="E112" s="211"/>
      <c r="F112" s="211"/>
      <c r="G112" s="190"/>
      <c r="H112" s="53"/>
      <c r="I112" s="190"/>
      <c r="J112" s="190"/>
      <c r="K112" s="211"/>
      <c r="L112" s="11" t="str">
        <f t="shared" si="11"/>
        <v/>
      </c>
      <c r="M112" s="11" t="str">
        <f t="shared" si="12"/>
        <v/>
      </c>
      <c r="N112" s="11" t="str">
        <f t="shared" si="13"/>
        <v/>
      </c>
    </row>
    <row r="113" spans="2:14">
      <c r="B113" s="211"/>
      <c r="C113" s="230"/>
      <c r="D113" s="211"/>
      <c r="E113" s="211"/>
      <c r="F113" s="211"/>
      <c r="G113" s="190"/>
      <c r="H113" s="53"/>
      <c r="I113" s="190"/>
      <c r="J113" s="190"/>
      <c r="K113" s="211"/>
      <c r="L113" s="11" t="str">
        <f t="shared" si="11"/>
        <v/>
      </c>
      <c r="M113" s="11" t="str">
        <f t="shared" si="12"/>
        <v/>
      </c>
      <c r="N113" s="11" t="str">
        <f t="shared" si="13"/>
        <v/>
      </c>
    </row>
    <row r="114" spans="2:14">
      <c r="B114" s="211"/>
      <c r="C114" s="230"/>
      <c r="D114" s="211"/>
      <c r="E114" s="211"/>
      <c r="F114" s="211"/>
      <c r="G114" s="190"/>
      <c r="H114" s="53"/>
      <c r="I114" s="190"/>
      <c r="J114" s="190"/>
      <c r="K114" s="211"/>
      <c r="L114" s="11" t="str">
        <f t="shared" si="11"/>
        <v/>
      </c>
      <c r="M114" s="11" t="str">
        <f t="shared" si="12"/>
        <v/>
      </c>
      <c r="N114" s="11" t="str">
        <f t="shared" si="13"/>
        <v/>
      </c>
    </row>
    <row r="115" spans="2:14">
      <c r="B115" s="211"/>
      <c r="C115" s="230"/>
      <c r="D115" s="211"/>
      <c r="E115" s="211"/>
      <c r="F115" s="211"/>
      <c r="G115" s="190"/>
      <c r="H115" s="53"/>
      <c r="I115" s="190"/>
      <c r="J115" s="190"/>
      <c r="K115" s="211"/>
      <c r="L115" s="11" t="str">
        <f t="shared" si="11"/>
        <v/>
      </c>
      <c r="M115" s="11" t="str">
        <f t="shared" si="12"/>
        <v/>
      </c>
      <c r="N115" s="11" t="str">
        <f t="shared" si="13"/>
        <v/>
      </c>
    </row>
    <row r="116" spans="2:14">
      <c r="B116" s="211"/>
      <c r="C116" s="230"/>
      <c r="D116" s="211"/>
      <c r="E116" s="211"/>
      <c r="F116" s="211"/>
      <c r="G116" s="190"/>
      <c r="H116" s="53"/>
      <c r="I116" s="190"/>
      <c r="J116" s="190"/>
      <c r="K116" s="211"/>
      <c r="L116" s="11" t="str">
        <f t="shared" si="11"/>
        <v/>
      </c>
      <c r="M116" s="11" t="str">
        <f t="shared" si="12"/>
        <v/>
      </c>
      <c r="N116" s="11" t="str">
        <f t="shared" si="13"/>
        <v/>
      </c>
    </row>
    <row r="117" spans="2:14">
      <c r="B117" s="211"/>
      <c r="C117" s="230"/>
      <c r="D117" s="211"/>
      <c r="E117" s="211"/>
      <c r="F117" s="211"/>
      <c r="G117" s="190"/>
      <c r="H117" s="53"/>
      <c r="I117" s="190"/>
      <c r="J117" s="190"/>
      <c r="K117" s="211"/>
      <c r="L117" s="11" t="str">
        <f t="shared" si="11"/>
        <v/>
      </c>
      <c r="M117" s="11" t="str">
        <f t="shared" si="12"/>
        <v/>
      </c>
      <c r="N117" s="11" t="str">
        <f t="shared" si="13"/>
        <v/>
      </c>
    </row>
    <row r="118" spans="2:14">
      <c r="B118" s="211"/>
      <c r="C118" s="230"/>
      <c r="D118" s="211"/>
      <c r="E118" s="211"/>
      <c r="F118" s="211"/>
      <c r="G118" s="190"/>
      <c r="H118" s="53"/>
      <c r="I118" s="190"/>
      <c r="J118" s="190"/>
      <c r="K118" s="211"/>
      <c r="L118" s="11" t="str">
        <f t="shared" si="11"/>
        <v/>
      </c>
      <c r="M118" s="11" t="str">
        <f t="shared" si="12"/>
        <v/>
      </c>
      <c r="N118" s="11" t="str">
        <f t="shared" si="13"/>
        <v/>
      </c>
    </row>
    <row r="119" spans="2:14">
      <c r="B119" s="232"/>
      <c r="C119" s="233"/>
      <c r="D119" s="232"/>
      <c r="E119" s="232"/>
      <c r="F119" s="232"/>
      <c r="G119" s="234"/>
      <c r="H119" s="235"/>
      <c r="I119" s="236"/>
      <c r="J119" s="236"/>
      <c r="K119" s="232"/>
      <c r="L119" s="227" t="str">
        <f t="shared" si="11"/>
        <v/>
      </c>
      <c r="M119" s="227" t="str">
        <f t="shared" si="12"/>
        <v/>
      </c>
      <c r="N119" s="227" t="str">
        <f t="shared" si="13"/>
        <v/>
      </c>
    </row>
    <row r="120" spans="2:14">
      <c r="B120" s="197"/>
      <c r="C120" s="198"/>
      <c r="D120" s="197"/>
      <c r="E120" s="197"/>
      <c r="F120" s="197"/>
      <c r="G120" s="59"/>
      <c r="H120" s="17"/>
      <c r="I120" s="85"/>
      <c r="J120" s="85"/>
      <c r="K120" s="197"/>
      <c r="L120" s="11" t="str">
        <f t="shared" si="11"/>
        <v/>
      </c>
      <c r="M120" s="11" t="str">
        <f t="shared" si="12"/>
        <v/>
      </c>
      <c r="N120" s="11" t="str">
        <f t="shared" si="13"/>
        <v/>
      </c>
    </row>
    <row r="121" spans="2:14">
      <c r="B121" s="197"/>
      <c r="C121" s="198"/>
      <c r="D121" s="197"/>
      <c r="E121" s="197"/>
      <c r="F121" s="197"/>
      <c r="G121" s="59"/>
      <c r="H121" s="17"/>
      <c r="I121" s="85"/>
      <c r="J121" s="85"/>
      <c r="K121" s="237"/>
      <c r="L121" s="11" t="str">
        <f t="shared" si="11"/>
        <v/>
      </c>
      <c r="M121" s="11" t="str">
        <f t="shared" si="12"/>
        <v/>
      </c>
      <c r="N121" s="11" t="str">
        <f t="shared" si="13"/>
        <v/>
      </c>
    </row>
    <row r="122" spans="2:14">
      <c r="B122" s="197"/>
      <c r="C122" s="198"/>
      <c r="D122" s="197"/>
      <c r="E122" s="197"/>
      <c r="F122" s="197"/>
      <c r="G122" s="59"/>
      <c r="H122" s="17"/>
      <c r="I122" s="85"/>
      <c r="J122" s="85"/>
      <c r="K122" s="197"/>
      <c r="L122" s="11" t="str">
        <f t="shared" si="11"/>
        <v/>
      </c>
      <c r="M122" s="11" t="str">
        <f t="shared" si="12"/>
        <v/>
      </c>
      <c r="N122" s="11" t="str">
        <f t="shared" si="13"/>
        <v/>
      </c>
    </row>
    <row r="123" spans="2:14">
      <c r="B123" s="197"/>
      <c r="C123" s="198"/>
      <c r="D123" s="197"/>
      <c r="E123" s="197"/>
      <c r="F123" s="197"/>
      <c r="G123" s="59"/>
      <c r="H123" s="17"/>
      <c r="I123" s="85"/>
      <c r="J123" s="85"/>
      <c r="K123" s="197"/>
      <c r="L123" s="11" t="str">
        <f t="shared" si="11"/>
        <v/>
      </c>
      <c r="M123" s="11" t="str">
        <f t="shared" si="12"/>
        <v/>
      </c>
      <c r="N123" s="11" t="str">
        <f t="shared" si="13"/>
        <v/>
      </c>
    </row>
    <row r="124" spans="2:14">
      <c r="B124" s="197"/>
      <c r="C124" s="198"/>
      <c r="D124" s="197"/>
      <c r="E124" s="197"/>
      <c r="F124" s="197"/>
      <c r="G124" s="59"/>
      <c r="H124" s="17"/>
      <c r="I124" s="85"/>
      <c r="J124" s="85"/>
      <c r="K124" s="197"/>
      <c r="L124" s="11" t="str">
        <f t="shared" si="11"/>
        <v/>
      </c>
      <c r="M124" s="11" t="str">
        <f t="shared" si="12"/>
        <v/>
      </c>
      <c r="N124" s="11" t="str">
        <f t="shared" si="13"/>
        <v/>
      </c>
    </row>
    <row r="125" spans="2:14">
      <c r="B125" s="197"/>
      <c r="C125" s="198"/>
      <c r="D125" s="197"/>
      <c r="E125" s="197"/>
      <c r="F125" s="197"/>
      <c r="G125" s="59"/>
      <c r="H125" s="17"/>
      <c r="I125" s="85"/>
      <c r="J125" s="85"/>
      <c r="K125" s="197"/>
      <c r="L125" s="11" t="str">
        <f t="shared" si="11"/>
        <v/>
      </c>
      <c r="M125" s="11" t="str">
        <f t="shared" si="12"/>
        <v/>
      </c>
      <c r="N125" s="11" t="str">
        <f t="shared" si="13"/>
        <v/>
      </c>
    </row>
    <row r="126" spans="2:14">
      <c r="B126" s="197"/>
      <c r="C126" s="198"/>
      <c r="D126" s="197"/>
      <c r="E126" s="197"/>
      <c r="F126" s="197"/>
      <c r="G126" s="59"/>
      <c r="H126" s="17"/>
      <c r="I126" s="85"/>
      <c r="J126" s="85"/>
      <c r="K126" s="197"/>
      <c r="L126" s="11" t="str">
        <f t="shared" si="11"/>
        <v/>
      </c>
      <c r="M126" s="11" t="str">
        <f t="shared" si="12"/>
        <v/>
      </c>
      <c r="N126" s="11" t="str">
        <f t="shared" si="13"/>
        <v/>
      </c>
    </row>
    <row r="127" spans="2:14">
      <c r="B127" s="197"/>
      <c r="C127" s="198"/>
      <c r="D127" s="197"/>
      <c r="E127" s="197"/>
      <c r="F127" s="197"/>
      <c r="G127" s="59"/>
      <c r="H127" s="17"/>
      <c r="I127" s="85"/>
      <c r="J127" s="85"/>
      <c r="K127" s="197"/>
      <c r="L127" s="11" t="str">
        <f t="shared" si="11"/>
        <v/>
      </c>
      <c r="M127" s="11" t="str">
        <f t="shared" si="12"/>
        <v/>
      </c>
      <c r="N127" s="11" t="str">
        <f t="shared" si="13"/>
        <v/>
      </c>
    </row>
    <row r="128" spans="2:14">
      <c r="B128" s="197"/>
      <c r="C128" s="198"/>
      <c r="D128" s="197"/>
      <c r="E128" s="197"/>
      <c r="F128" s="197"/>
      <c r="G128" s="59"/>
      <c r="H128" s="17"/>
      <c r="I128" s="85"/>
      <c r="J128" s="85"/>
      <c r="K128" s="197"/>
      <c r="L128" s="11" t="str">
        <f t="shared" si="11"/>
        <v/>
      </c>
      <c r="M128" s="11" t="str">
        <f t="shared" si="12"/>
        <v/>
      </c>
      <c r="N128" s="11" t="str">
        <f t="shared" si="13"/>
        <v/>
      </c>
    </row>
    <row r="129" spans="2:14">
      <c r="B129" s="197"/>
      <c r="C129" s="198"/>
      <c r="D129" s="197"/>
      <c r="E129" s="197"/>
      <c r="F129" s="197"/>
      <c r="G129" s="59"/>
      <c r="H129" s="17"/>
      <c r="I129" s="85"/>
      <c r="J129" s="85"/>
      <c r="K129" s="197"/>
      <c r="L129" s="11" t="str">
        <f t="shared" si="11"/>
        <v/>
      </c>
      <c r="M129" s="11" t="str">
        <f t="shared" si="12"/>
        <v/>
      </c>
      <c r="N129" s="11" t="str">
        <f t="shared" si="13"/>
        <v/>
      </c>
    </row>
    <row r="130" spans="2:14">
      <c r="B130" s="197"/>
      <c r="C130" s="198"/>
      <c r="D130" s="197"/>
      <c r="E130" s="197"/>
      <c r="F130" s="197"/>
      <c r="G130" s="59"/>
      <c r="H130" s="17"/>
      <c r="I130" s="85"/>
      <c r="J130" s="85"/>
      <c r="K130" s="197"/>
      <c r="L130" s="11" t="str">
        <f t="shared" si="11"/>
        <v/>
      </c>
      <c r="M130" s="11" t="str">
        <f t="shared" si="12"/>
        <v/>
      </c>
      <c r="N130" s="11" t="str">
        <f t="shared" si="13"/>
        <v/>
      </c>
    </row>
    <row r="131" spans="2:14">
      <c r="B131" s="197"/>
      <c r="C131" s="198"/>
      <c r="D131" s="197"/>
      <c r="E131" s="197"/>
      <c r="F131" s="197"/>
      <c r="G131" s="59"/>
      <c r="H131" s="17"/>
      <c r="I131" s="85"/>
      <c r="J131" s="85"/>
      <c r="K131" s="197"/>
      <c r="L131" s="11" t="str">
        <f t="shared" si="11"/>
        <v/>
      </c>
      <c r="M131" s="11" t="str">
        <f t="shared" si="12"/>
        <v/>
      </c>
      <c r="N131" s="11" t="str">
        <f t="shared" si="13"/>
        <v/>
      </c>
    </row>
    <row r="132" spans="2:14">
      <c r="B132" s="197"/>
      <c r="C132" s="198"/>
      <c r="D132" s="197"/>
      <c r="E132" s="197"/>
      <c r="F132" s="197"/>
      <c r="G132" s="59"/>
      <c r="H132" s="17"/>
      <c r="I132" s="85"/>
      <c r="J132" s="85"/>
      <c r="K132" s="197"/>
      <c r="L132" s="11" t="str">
        <f t="shared" si="11"/>
        <v/>
      </c>
      <c r="M132" s="11" t="str">
        <f t="shared" si="12"/>
        <v/>
      </c>
      <c r="N132" s="11" t="str">
        <f t="shared" si="13"/>
        <v/>
      </c>
    </row>
    <row r="133" spans="2:14">
      <c r="B133" s="197"/>
      <c r="C133" s="198"/>
      <c r="D133" s="197"/>
      <c r="E133" s="197"/>
      <c r="F133" s="197"/>
      <c r="G133" s="59"/>
      <c r="H133" s="17"/>
      <c r="I133" s="85"/>
      <c r="J133" s="85"/>
      <c r="K133" s="197"/>
      <c r="L133" s="11" t="str">
        <f t="shared" si="11"/>
        <v/>
      </c>
      <c r="M133" s="11" t="str">
        <f t="shared" si="12"/>
        <v/>
      </c>
      <c r="N133" s="11" t="str">
        <f t="shared" si="13"/>
        <v/>
      </c>
    </row>
    <row r="134" spans="2:14">
      <c r="B134" s="197"/>
      <c r="C134" s="198"/>
      <c r="D134" s="197"/>
      <c r="E134" s="197"/>
      <c r="F134" s="197"/>
      <c r="G134" s="59"/>
      <c r="H134" s="17"/>
      <c r="I134" s="85"/>
      <c r="J134" s="85"/>
      <c r="K134" s="197"/>
      <c r="L134" s="11" t="str">
        <f t="shared" si="11"/>
        <v/>
      </c>
      <c r="M134" s="11" t="str">
        <f t="shared" si="12"/>
        <v/>
      </c>
      <c r="N134" s="11" t="str">
        <f t="shared" si="13"/>
        <v/>
      </c>
    </row>
    <row r="135" spans="2:14">
      <c r="B135" s="197"/>
      <c r="C135" s="198"/>
      <c r="D135" s="197"/>
      <c r="E135" s="197"/>
      <c r="F135" s="197"/>
      <c r="G135" s="59"/>
      <c r="H135" s="17"/>
      <c r="I135" s="85"/>
      <c r="J135" s="85"/>
      <c r="K135" s="197"/>
      <c r="L135" s="11" t="str">
        <f t="shared" si="11"/>
        <v/>
      </c>
      <c r="M135" s="11" t="str">
        <f t="shared" si="12"/>
        <v/>
      </c>
      <c r="N135" s="11" t="str">
        <f t="shared" si="13"/>
        <v/>
      </c>
    </row>
    <row r="136" spans="2:14">
      <c r="B136" s="197"/>
      <c r="C136" s="198"/>
      <c r="D136" s="197"/>
      <c r="E136" s="197"/>
      <c r="F136" s="197"/>
      <c r="G136" s="59"/>
      <c r="H136" s="17"/>
      <c r="I136" s="85"/>
      <c r="J136" s="85"/>
      <c r="K136" s="197"/>
      <c r="L136" s="11" t="str">
        <f t="shared" si="11"/>
        <v/>
      </c>
      <c r="M136" s="11" t="str">
        <f t="shared" si="12"/>
        <v/>
      </c>
      <c r="N136" s="11" t="str">
        <f t="shared" si="13"/>
        <v/>
      </c>
    </row>
    <row r="137" spans="2:14">
      <c r="B137" s="197"/>
      <c r="C137" s="198"/>
      <c r="D137" s="197"/>
      <c r="E137" s="197"/>
      <c r="F137" s="197"/>
      <c r="G137" s="59"/>
      <c r="H137" s="17"/>
      <c r="I137" s="85"/>
      <c r="J137" s="85"/>
      <c r="K137" s="197"/>
      <c r="L137" s="11" t="str">
        <f t="shared" si="11"/>
        <v/>
      </c>
      <c r="M137" s="11" t="str">
        <f t="shared" si="12"/>
        <v/>
      </c>
      <c r="N137" s="11" t="str">
        <f t="shared" si="13"/>
        <v/>
      </c>
    </row>
    <row r="138" spans="2:14">
      <c r="B138" s="197"/>
      <c r="C138" s="198"/>
      <c r="D138" s="197"/>
      <c r="E138" s="197"/>
      <c r="F138" s="197"/>
      <c r="G138" s="59"/>
      <c r="H138" s="17"/>
      <c r="I138" s="85"/>
      <c r="J138" s="85"/>
      <c r="K138" s="197"/>
      <c r="L138" s="11" t="str">
        <f t="shared" si="11"/>
        <v/>
      </c>
      <c r="M138" s="11" t="str">
        <f t="shared" si="12"/>
        <v/>
      </c>
      <c r="N138" s="11" t="str">
        <f t="shared" si="13"/>
        <v/>
      </c>
    </row>
    <row r="139" spans="2:14">
      <c r="B139" s="197"/>
      <c r="C139" s="198"/>
      <c r="D139" s="197"/>
      <c r="E139" s="197"/>
      <c r="F139" s="197"/>
      <c r="G139" s="59"/>
      <c r="H139" s="17"/>
      <c r="I139" s="85"/>
      <c r="J139" s="85"/>
      <c r="K139" s="197"/>
      <c r="L139" s="11" t="str">
        <f t="shared" si="11"/>
        <v/>
      </c>
      <c r="M139" s="11" t="str">
        <f t="shared" si="12"/>
        <v/>
      </c>
      <c r="N139" s="11" t="str">
        <f t="shared" si="13"/>
        <v/>
      </c>
    </row>
    <row r="140" spans="2:14">
      <c r="B140" s="197"/>
      <c r="C140" s="198"/>
      <c r="D140" s="197"/>
      <c r="E140" s="197"/>
      <c r="F140" s="197"/>
      <c r="G140" s="59"/>
      <c r="H140" s="17"/>
      <c r="I140" s="85"/>
      <c r="J140" s="85"/>
      <c r="K140" s="197"/>
      <c r="L140" s="11" t="str">
        <f t="shared" si="11"/>
        <v/>
      </c>
      <c r="M140" s="11" t="str">
        <f t="shared" si="12"/>
        <v/>
      </c>
      <c r="N140" s="11" t="str">
        <f t="shared" si="13"/>
        <v/>
      </c>
    </row>
    <row r="141" spans="2:14">
      <c r="B141" s="197"/>
      <c r="C141" s="198"/>
      <c r="D141" s="197"/>
      <c r="E141" s="197"/>
      <c r="F141" s="197"/>
      <c r="G141" s="59"/>
      <c r="H141" s="17"/>
      <c r="I141" s="85"/>
      <c r="J141" s="85"/>
      <c r="K141" s="197"/>
      <c r="L141" s="11" t="str">
        <f t="shared" si="11"/>
        <v/>
      </c>
      <c r="M141" s="11" t="str">
        <f t="shared" si="12"/>
        <v/>
      </c>
      <c r="N141" s="11" t="str">
        <f t="shared" si="13"/>
        <v/>
      </c>
    </row>
    <row r="142" spans="2:14">
      <c r="B142" s="197"/>
      <c r="C142" s="198"/>
      <c r="D142" s="197"/>
      <c r="E142" s="197"/>
      <c r="F142" s="197"/>
      <c r="G142" s="59"/>
      <c r="H142" s="17"/>
      <c r="I142" s="85"/>
      <c r="J142" s="85"/>
      <c r="K142" s="197"/>
      <c r="L142" s="11" t="str">
        <f t="shared" ref="L142:L175" si="14">IF(C142="","",MONTH(C142))</f>
        <v/>
      </c>
      <c r="M142" s="11" t="str">
        <f t="shared" ref="M142:M175" si="15">IF(C142="","",YEAR(C142))</f>
        <v/>
      </c>
      <c r="N142" s="11" t="str">
        <f t="shared" ref="N142:N175" si="16">IF(C142="","",DAY(C142))</f>
        <v/>
      </c>
    </row>
    <row r="143" spans="2:14">
      <c r="B143" s="197"/>
      <c r="C143" s="198"/>
      <c r="D143" s="197"/>
      <c r="E143" s="197"/>
      <c r="F143" s="197"/>
      <c r="G143" s="59"/>
      <c r="H143" s="17"/>
      <c r="I143" s="85"/>
      <c r="J143" s="85"/>
      <c r="K143" s="197"/>
      <c r="L143" s="11" t="str">
        <f t="shared" si="14"/>
        <v/>
      </c>
      <c r="M143" s="11" t="str">
        <f t="shared" si="15"/>
        <v/>
      </c>
      <c r="N143" s="11" t="str">
        <f t="shared" si="16"/>
        <v/>
      </c>
    </row>
    <row r="144" spans="2:14">
      <c r="B144" s="197"/>
      <c r="C144" s="198"/>
      <c r="D144" s="197"/>
      <c r="E144" s="197"/>
      <c r="F144" s="197"/>
      <c r="G144" s="59"/>
      <c r="H144" s="17"/>
      <c r="I144" s="85"/>
      <c r="J144" s="85"/>
      <c r="K144" s="197"/>
      <c r="L144" s="11" t="str">
        <f t="shared" si="14"/>
        <v/>
      </c>
      <c r="M144" s="11" t="str">
        <f t="shared" si="15"/>
        <v/>
      </c>
      <c r="N144" s="11" t="str">
        <f t="shared" si="16"/>
        <v/>
      </c>
    </row>
    <row r="145" spans="3:14">
      <c r="C145" s="188"/>
      <c r="G145" s="79"/>
      <c r="H145" s="193"/>
      <c r="I145" s="191">
        <f t="shared" ref="I145:I163" si="17">G145 - (G145 / (1 + H145))</f>
        <v>0</v>
      </c>
      <c r="J145" s="191">
        <f t="shared" ref="J145:J163" si="18">G145 / (1 + H145)</f>
        <v>0</v>
      </c>
      <c r="L145" s="11" t="str">
        <f t="shared" si="14"/>
        <v/>
      </c>
      <c r="M145" s="11" t="str">
        <f t="shared" si="15"/>
        <v/>
      </c>
      <c r="N145" s="11" t="str">
        <f t="shared" si="16"/>
        <v/>
      </c>
    </row>
    <row r="146" spans="3:14">
      <c r="C146" s="188"/>
      <c r="G146" s="79"/>
      <c r="H146" s="193"/>
      <c r="I146" s="191">
        <f t="shared" si="17"/>
        <v>0</v>
      </c>
      <c r="J146" s="191">
        <f t="shared" si="18"/>
        <v>0</v>
      </c>
      <c r="L146" s="11" t="str">
        <f t="shared" si="14"/>
        <v/>
      </c>
      <c r="M146" s="11" t="str">
        <f t="shared" si="15"/>
        <v/>
      </c>
      <c r="N146" s="11" t="str">
        <f t="shared" si="16"/>
        <v/>
      </c>
    </row>
    <row r="147" spans="3:14">
      <c r="C147" s="188"/>
      <c r="G147" s="79"/>
      <c r="H147" s="193"/>
      <c r="I147" s="191">
        <f t="shared" si="17"/>
        <v>0</v>
      </c>
      <c r="J147" s="191">
        <f t="shared" si="18"/>
        <v>0</v>
      </c>
      <c r="L147" s="11" t="str">
        <f t="shared" si="14"/>
        <v/>
      </c>
      <c r="M147" s="11" t="str">
        <f t="shared" si="15"/>
        <v/>
      </c>
      <c r="N147" s="11" t="str">
        <f t="shared" si="16"/>
        <v/>
      </c>
    </row>
    <row r="148" spans="3:14">
      <c r="C148" s="188"/>
      <c r="G148" s="79"/>
      <c r="H148" s="193"/>
      <c r="I148" s="191">
        <f t="shared" si="17"/>
        <v>0</v>
      </c>
      <c r="J148" s="191">
        <f t="shared" si="18"/>
        <v>0</v>
      </c>
      <c r="L148" s="11" t="str">
        <f t="shared" si="14"/>
        <v/>
      </c>
      <c r="M148" s="11" t="str">
        <f t="shared" si="15"/>
        <v/>
      </c>
      <c r="N148" s="11" t="str">
        <f t="shared" si="16"/>
        <v/>
      </c>
    </row>
    <row r="149" spans="3:14">
      <c r="C149" s="188"/>
      <c r="G149" s="79"/>
      <c r="H149" s="193"/>
      <c r="I149" s="191">
        <f t="shared" si="17"/>
        <v>0</v>
      </c>
      <c r="J149" s="191">
        <f t="shared" si="18"/>
        <v>0</v>
      </c>
      <c r="L149" s="11" t="str">
        <f t="shared" si="14"/>
        <v/>
      </c>
      <c r="M149" s="11" t="str">
        <f t="shared" si="15"/>
        <v/>
      </c>
      <c r="N149" s="11" t="str">
        <f t="shared" si="16"/>
        <v/>
      </c>
    </row>
    <row r="150" spans="3:14">
      <c r="C150" s="188"/>
      <c r="G150" s="79"/>
      <c r="H150" s="193"/>
      <c r="I150" s="191">
        <f t="shared" si="17"/>
        <v>0</v>
      </c>
      <c r="J150" s="191">
        <f t="shared" si="18"/>
        <v>0</v>
      </c>
      <c r="L150" s="11" t="str">
        <f t="shared" si="14"/>
        <v/>
      </c>
      <c r="M150" s="11" t="str">
        <f t="shared" si="15"/>
        <v/>
      </c>
      <c r="N150" s="11" t="str">
        <f t="shared" si="16"/>
        <v/>
      </c>
    </row>
    <row r="151" spans="3:14">
      <c r="C151" s="188"/>
      <c r="G151" s="79"/>
      <c r="H151" s="193"/>
      <c r="I151" s="191">
        <f t="shared" si="17"/>
        <v>0</v>
      </c>
      <c r="J151" s="191">
        <f t="shared" si="18"/>
        <v>0</v>
      </c>
      <c r="L151" s="11" t="str">
        <f t="shared" si="14"/>
        <v/>
      </c>
      <c r="M151" s="11" t="str">
        <f t="shared" si="15"/>
        <v/>
      </c>
      <c r="N151" s="11" t="str">
        <f t="shared" si="16"/>
        <v/>
      </c>
    </row>
    <row r="152" spans="3:14">
      <c r="C152" s="188"/>
      <c r="G152" s="79"/>
      <c r="H152" s="193"/>
      <c r="I152" s="191">
        <f t="shared" si="17"/>
        <v>0</v>
      </c>
      <c r="J152" s="191">
        <f t="shared" si="18"/>
        <v>0</v>
      </c>
      <c r="L152" s="11" t="str">
        <f t="shared" si="14"/>
        <v/>
      </c>
      <c r="M152" s="11" t="str">
        <f t="shared" si="15"/>
        <v/>
      </c>
      <c r="N152" s="11" t="str">
        <f t="shared" si="16"/>
        <v/>
      </c>
    </row>
    <row r="153" spans="3:14">
      <c r="C153" s="188"/>
      <c r="G153" s="79"/>
      <c r="H153" s="193"/>
      <c r="I153" s="191">
        <f t="shared" si="17"/>
        <v>0</v>
      </c>
      <c r="J153" s="191">
        <f t="shared" si="18"/>
        <v>0</v>
      </c>
      <c r="L153" s="11" t="str">
        <f t="shared" si="14"/>
        <v/>
      </c>
      <c r="M153" s="11" t="str">
        <f t="shared" si="15"/>
        <v/>
      </c>
      <c r="N153" s="11" t="str">
        <f t="shared" si="16"/>
        <v/>
      </c>
    </row>
    <row r="154" spans="3:14">
      <c r="C154" s="188"/>
      <c r="G154" s="79"/>
      <c r="H154" s="193"/>
      <c r="I154" s="191">
        <f t="shared" si="17"/>
        <v>0</v>
      </c>
      <c r="J154" s="191">
        <f t="shared" si="18"/>
        <v>0</v>
      </c>
      <c r="L154" s="11" t="str">
        <f t="shared" si="14"/>
        <v/>
      </c>
      <c r="M154" s="11" t="str">
        <f t="shared" si="15"/>
        <v/>
      </c>
      <c r="N154" s="11" t="str">
        <f t="shared" si="16"/>
        <v/>
      </c>
    </row>
    <row r="155" spans="3:14">
      <c r="C155" s="188"/>
      <c r="G155" s="79"/>
      <c r="H155" s="193"/>
      <c r="I155" s="191">
        <f t="shared" si="17"/>
        <v>0</v>
      </c>
      <c r="J155" s="191">
        <f t="shared" si="18"/>
        <v>0</v>
      </c>
      <c r="L155" s="11" t="str">
        <f t="shared" si="14"/>
        <v/>
      </c>
      <c r="M155" s="11" t="str">
        <f t="shared" si="15"/>
        <v/>
      </c>
      <c r="N155" s="11" t="str">
        <f t="shared" si="16"/>
        <v/>
      </c>
    </row>
    <row r="156" spans="3:14">
      <c r="C156" s="188"/>
      <c r="G156" s="79"/>
      <c r="H156" s="193"/>
      <c r="I156" s="191">
        <f t="shared" si="17"/>
        <v>0</v>
      </c>
      <c r="J156" s="191">
        <f t="shared" si="18"/>
        <v>0</v>
      </c>
      <c r="L156" s="11" t="str">
        <f t="shared" si="14"/>
        <v/>
      </c>
      <c r="M156" s="11" t="str">
        <f t="shared" si="15"/>
        <v/>
      </c>
      <c r="N156" s="11" t="str">
        <f t="shared" si="16"/>
        <v/>
      </c>
    </row>
    <row r="157" spans="3:14">
      <c r="C157" s="188"/>
      <c r="G157" s="79"/>
      <c r="H157" s="193"/>
      <c r="I157" s="191">
        <f t="shared" si="17"/>
        <v>0</v>
      </c>
      <c r="J157" s="191">
        <f t="shared" si="18"/>
        <v>0</v>
      </c>
      <c r="L157" s="11" t="str">
        <f t="shared" si="14"/>
        <v/>
      </c>
      <c r="M157" s="11" t="str">
        <f t="shared" si="15"/>
        <v/>
      </c>
      <c r="N157" s="11" t="str">
        <f t="shared" si="16"/>
        <v/>
      </c>
    </row>
    <row r="158" spans="3:14">
      <c r="C158" s="188"/>
      <c r="G158" s="79"/>
      <c r="H158" s="193"/>
      <c r="I158" s="191">
        <f t="shared" si="17"/>
        <v>0</v>
      </c>
      <c r="J158" s="191">
        <f t="shared" si="18"/>
        <v>0</v>
      </c>
      <c r="L158" s="11" t="str">
        <f t="shared" si="14"/>
        <v/>
      </c>
      <c r="M158" s="11" t="str">
        <f t="shared" si="15"/>
        <v/>
      </c>
      <c r="N158" s="11" t="str">
        <f t="shared" si="16"/>
        <v/>
      </c>
    </row>
    <row r="159" spans="3:14">
      <c r="C159" s="188"/>
      <c r="G159" s="79"/>
      <c r="H159" s="193"/>
      <c r="I159" s="191">
        <f t="shared" si="17"/>
        <v>0</v>
      </c>
      <c r="J159" s="191">
        <f t="shared" si="18"/>
        <v>0</v>
      </c>
      <c r="L159" s="11" t="str">
        <f t="shared" si="14"/>
        <v/>
      </c>
      <c r="M159" s="11" t="str">
        <f t="shared" si="15"/>
        <v/>
      </c>
      <c r="N159" s="11" t="str">
        <f t="shared" si="16"/>
        <v/>
      </c>
    </row>
    <row r="160" spans="3:14">
      <c r="C160" s="188"/>
      <c r="G160" s="79"/>
      <c r="H160" s="193"/>
      <c r="I160" s="191">
        <f t="shared" si="17"/>
        <v>0</v>
      </c>
      <c r="J160" s="191">
        <f t="shared" si="18"/>
        <v>0</v>
      </c>
      <c r="L160" s="11" t="str">
        <f t="shared" si="14"/>
        <v/>
      </c>
      <c r="M160" s="11" t="str">
        <f t="shared" si="15"/>
        <v/>
      </c>
      <c r="N160" s="11" t="str">
        <f t="shared" si="16"/>
        <v/>
      </c>
    </row>
    <row r="161" spans="3:14">
      <c r="C161" s="188"/>
      <c r="G161" s="79"/>
      <c r="H161" s="193"/>
      <c r="I161" s="191">
        <f t="shared" si="17"/>
        <v>0</v>
      </c>
      <c r="J161" s="191">
        <f t="shared" si="18"/>
        <v>0</v>
      </c>
      <c r="L161" s="11" t="str">
        <f t="shared" si="14"/>
        <v/>
      </c>
      <c r="M161" s="11" t="str">
        <f t="shared" si="15"/>
        <v/>
      </c>
      <c r="N161" s="11" t="str">
        <f t="shared" si="16"/>
        <v/>
      </c>
    </row>
    <row r="162" spans="3:14">
      <c r="C162" s="188"/>
      <c r="G162" s="79"/>
      <c r="H162" s="193"/>
      <c r="I162" s="191">
        <f t="shared" si="17"/>
        <v>0</v>
      </c>
      <c r="J162" s="191">
        <f t="shared" si="18"/>
        <v>0</v>
      </c>
      <c r="L162" s="11" t="str">
        <f t="shared" si="14"/>
        <v/>
      </c>
      <c r="M162" s="11" t="str">
        <f t="shared" si="15"/>
        <v/>
      </c>
      <c r="N162" s="11" t="str">
        <f t="shared" si="16"/>
        <v/>
      </c>
    </row>
    <row r="163" spans="3:14">
      <c r="C163" s="188"/>
      <c r="G163" s="79"/>
      <c r="H163" s="193"/>
      <c r="I163" s="191">
        <f t="shared" si="17"/>
        <v>0</v>
      </c>
      <c r="J163" s="191">
        <f t="shared" si="18"/>
        <v>0</v>
      </c>
      <c r="L163" s="11" t="str">
        <f t="shared" si="14"/>
        <v/>
      </c>
      <c r="M163" s="11" t="str">
        <f t="shared" si="15"/>
        <v/>
      </c>
      <c r="N163" s="11" t="str">
        <f t="shared" si="16"/>
        <v/>
      </c>
    </row>
    <row r="164" spans="3:14">
      <c r="C164" s="188"/>
      <c r="G164" s="79"/>
      <c r="H164" s="193"/>
      <c r="I164" s="191">
        <f t="shared" ref="I164:I175" si="19">G164 - (G164 / (1 + H164))</f>
        <v>0</v>
      </c>
      <c r="J164" s="191">
        <f t="shared" ref="J164:J175" si="20">G164 / (1 + H164)</f>
        <v>0</v>
      </c>
      <c r="L164" s="11" t="str">
        <f t="shared" si="14"/>
        <v/>
      </c>
      <c r="M164" s="11" t="str">
        <f t="shared" si="15"/>
        <v/>
      </c>
      <c r="N164" s="11" t="str">
        <f t="shared" si="16"/>
        <v/>
      </c>
    </row>
    <row r="165" spans="3:14">
      <c r="C165" s="188"/>
      <c r="G165" s="79"/>
      <c r="H165" s="193"/>
      <c r="I165" s="191">
        <f t="shared" si="19"/>
        <v>0</v>
      </c>
      <c r="J165" s="191">
        <f t="shared" si="20"/>
        <v>0</v>
      </c>
      <c r="L165" s="11" t="str">
        <f t="shared" si="14"/>
        <v/>
      </c>
      <c r="M165" s="11" t="str">
        <f t="shared" si="15"/>
        <v/>
      </c>
      <c r="N165" s="11" t="str">
        <f t="shared" si="16"/>
        <v/>
      </c>
    </row>
    <row r="166" spans="3:14">
      <c r="C166" s="188"/>
      <c r="G166" s="79"/>
      <c r="H166" s="193"/>
      <c r="I166" s="191">
        <f t="shared" si="19"/>
        <v>0</v>
      </c>
      <c r="J166" s="191">
        <f t="shared" si="20"/>
        <v>0</v>
      </c>
      <c r="L166" s="11" t="str">
        <f t="shared" si="14"/>
        <v/>
      </c>
      <c r="M166" s="11" t="str">
        <f t="shared" si="15"/>
        <v/>
      </c>
      <c r="N166" s="11" t="str">
        <f t="shared" si="16"/>
        <v/>
      </c>
    </row>
    <row r="167" spans="3:14">
      <c r="C167" s="188"/>
      <c r="G167" s="79"/>
      <c r="H167" s="193"/>
      <c r="I167" s="191">
        <f t="shared" si="19"/>
        <v>0</v>
      </c>
      <c r="J167" s="191">
        <f t="shared" si="20"/>
        <v>0</v>
      </c>
      <c r="L167" s="11" t="str">
        <f t="shared" si="14"/>
        <v/>
      </c>
      <c r="M167" s="11" t="str">
        <f t="shared" si="15"/>
        <v/>
      </c>
      <c r="N167" s="11" t="str">
        <f t="shared" si="16"/>
        <v/>
      </c>
    </row>
    <row r="168" spans="3:14">
      <c r="C168" s="188"/>
      <c r="G168" s="79"/>
      <c r="H168" s="193"/>
      <c r="I168" s="191">
        <f t="shared" si="19"/>
        <v>0</v>
      </c>
      <c r="J168" s="191">
        <f t="shared" si="20"/>
        <v>0</v>
      </c>
      <c r="L168" s="11" t="str">
        <f t="shared" si="14"/>
        <v/>
      </c>
      <c r="M168" s="11" t="str">
        <f t="shared" si="15"/>
        <v/>
      </c>
      <c r="N168" s="11" t="str">
        <f t="shared" si="16"/>
        <v/>
      </c>
    </row>
    <row r="169" spans="3:14">
      <c r="C169" s="188"/>
      <c r="G169" s="79"/>
      <c r="H169" s="193"/>
      <c r="I169" s="191">
        <f t="shared" si="19"/>
        <v>0</v>
      </c>
      <c r="J169" s="191">
        <f t="shared" si="20"/>
        <v>0</v>
      </c>
      <c r="L169" s="11" t="str">
        <f t="shared" si="14"/>
        <v/>
      </c>
      <c r="M169" s="11" t="str">
        <f t="shared" si="15"/>
        <v/>
      </c>
      <c r="N169" s="11" t="str">
        <f t="shared" si="16"/>
        <v/>
      </c>
    </row>
    <row r="170" spans="3:14">
      <c r="C170" s="188"/>
      <c r="G170" s="79"/>
      <c r="H170" s="193"/>
      <c r="I170" s="191">
        <f t="shared" si="19"/>
        <v>0</v>
      </c>
      <c r="J170" s="191">
        <f t="shared" si="20"/>
        <v>0</v>
      </c>
      <c r="L170" s="11" t="str">
        <f t="shared" si="14"/>
        <v/>
      </c>
      <c r="M170" s="11" t="str">
        <f t="shared" si="15"/>
        <v/>
      </c>
      <c r="N170" s="11" t="str">
        <f t="shared" si="16"/>
        <v/>
      </c>
    </row>
    <row r="171" spans="3:14">
      <c r="C171" s="188"/>
      <c r="G171" s="79"/>
      <c r="H171" s="193"/>
      <c r="I171" s="191">
        <f t="shared" si="19"/>
        <v>0</v>
      </c>
      <c r="J171" s="191">
        <f t="shared" si="20"/>
        <v>0</v>
      </c>
      <c r="L171" s="11" t="str">
        <f t="shared" si="14"/>
        <v/>
      </c>
      <c r="M171" s="11" t="str">
        <f t="shared" si="15"/>
        <v/>
      </c>
      <c r="N171" s="11" t="str">
        <f t="shared" si="16"/>
        <v/>
      </c>
    </row>
    <row r="172" spans="3:14">
      <c r="C172" s="188"/>
      <c r="G172" s="79"/>
      <c r="H172" s="193"/>
      <c r="I172" s="191">
        <f t="shared" si="19"/>
        <v>0</v>
      </c>
      <c r="J172" s="191">
        <f t="shared" si="20"/>
        <v>0</v>
      </c>
      <c r="L172" s="11" t="str">
        <f t="shared" si="14"/>
        <v/>
      </c>
      <c r="M172" s="11" t="str">
        <f t="shared" si="15"/>
        <v/>
      </c>
      <c r="N172" s="11" t="str">
        <f t="shared" si="16"/>
        <v/>
      </c>
    </row>
    <row r="173" spans="3:14">
      <c r="C173" s="188"/>
      <c r="G173" s="79"/>
      <c r="H173" s="193"/>
      <c r="I173" s="191">
        <f t="shared" si="19"/>
        <v>0</v>
      </c>
      <c r="J173" s="191">
        <f t="shared" si="20"/>
        <v>0</v>
      </c>
      <c r="L173" s="11" t="str">
        <f t="shared" si="14"/>
        <v/>
      </c>
      <c r="M173" s="11" t="str">
        <f t="shared" si="15"/>
        <v/>
      </c>
      <c r="N173" s="11" t="str">
        <f t="shared" si="16"/>
        <v/>
      </c>
    </row>
    <row r="174" spans="3:14">
      <c r="C174" s="188"/>
      <c r="G174" s="79"/>
      <c r="H174" s="193"/>
      <c r="I174" s="191">
        <f t="shared" si="19"/>
        <v>0</v>
      </c>
      <c r="J174" s="191">
        <f t="shared" si="20"/>
        <v>0</v>
      </c>
      <c r="L174" s="11" t="str">
        <f t="shared" si="14"/>
        <v/>
      </c>
      <c r="M174" s="11" t="str">
        <f t="shared" si="15"/>
        <v/>
      </c>
      <c r="N174" s="11" t="str">
        <f t="shared" si="16"/>
        <v/>
      </c>
    </row>
    <row r="175" spans="3:14">
      <c r="C175" s="188"/>
      <c r="G175" s="79"/>
      <c r="H175" s="193"/>
      <c r="I175" s="191">
        <f t="shared" si="19"/>
        <v>0</v>
      </c>
      <c r="J175" s="191">
        <f t="shared" si="20"/>
        <v>0</v>
      </c>
      <c r="L175" s="11" t="str">
        <f t="shared" si="14"/>
        <v/>
      </c>
      <c r="M175" s="11" t="str">
        <f t="shared" si="15"/>
        <v/>
      </c>
      <c r="N175" s="11" t="str">
        <f t="shared" si="16"/>
        <v/>
      </c>
    </row>
    <row r="176" spans="3:14">
      <c r="C176" s="220"/>
      <c r="D176" s="221"/>
      <c r="E176" s="221"/>
      <c r="F176" s="221"/>
      <c r="G176" s="222"/>
      <c r="H176" s="223"/>
      <c r="I176" s="224"/>
      <c r="J176" s="224"/>
      <c r="K176" s="221"/>
      <c r="L176" s="227"/>
      <c r="M176" s="227"/>
      <c r="N176" s="227"/>
    </row>
    <row r="177" spans="3:14">
      <c r="C177" s="220"/>
      <c r="D177" s="221"/>
      <c r="E177" s="221"/>
      <c r="F177" s="221"/>
      <c r="G177" s="222"/>
      <c r="H177" s="223"/>
      <c r="I177" s="224"/>
      <c r="J177" s="224"/>
      <c r="K177" s="221"/>
      <c r="L177" s="227"/>
      <c r="M177" s="227"/>
      <c r="N177" s="227"/>
    </row>
    <row r="178" spans="3:14">
      <c r="C178" s="220"/>
      <c r="D178" s="221"/>
      <c r="E178" s="221"/>
      <c r="F178" s="221"/>
      <c r="G178" s="222"/>
      <c r="H178" s="223"/>
      <c r="I178" s="224"/>
      <c r="J178" s="224"/>
      <c r="K178" s="221"/>
      <c r="L178" s="227"/>
      <c r="M178" s="227"/>
      <c r="N178" s="227"/>
    </row>
    <row r="179" spans="3:14">
      <c r="C179" s="220"/>
      <c r="D179" s="221"/>
      <c r="E179" s="221"/>
      <c r="F179" s="221"/>
      <c r="G179" s="222"/>
      <c r="H179" s="223"/>
      <c r="I179" s="224"/>
      <c r="J179" s="224"/>
      <c r="K179" s="221"/>
      <c r="L179" s="227"/>
      <c r="M179" s="227"/>
      <c r="N179" s="227"/>
    </row>
    <row r="180" spans="3:14">
      <c r="C180" s="188"/>
      <c r="G180" s="79"/>
      <c r="H180" s="193"/>
      <c r="I180" s="191">
        <f t="shared" ref="I180:I189" si="21">G180 - (G180 / (1 + H180))</f>
        <v>0</v>
      </c>
      <c r="J180" s="191">
        <f t="shared" ref="J180:J189" si="22">G180 / (1 + H180)</f>
        <v>0</v>
      </c>
      <c r="L180" s="11" t="str">
        <f t="shared" ref="L180:L189" si="23">IF(C180="","",MONTH(C180))</f>
        <v/>
      </c>
      <c r="M180" s="11" t="str">
        <f t="shared" ref="M180:M189" si="24">IF(C180="","",YEAR(C180))</f>
        <v/>
      </c>
      <c r="N180" s="11" t="str">
        <f t="shared" ref="N180:N189" si="25">IF(C180="","",DAY(C180))</f>
        <v/>
      </c>
    </row>
    <row r="181" spans="3:14">
      <c r="C181" s="188"/>
      <c r="G181" s="79"/>
      <c r="H181" s="193"/>
      <c r="I181" s="191">
        <f t="shared" si="21"/>
        <v>0</v>
      </c>
      <c r="J181" s="191">
        <f t="shared" si="22"/>
        <v>0</v>
      </c>
      <c r="L181" s="11" t="str">
        <f t="shared" si="23"/>
        <v/>
      </c>
      <c r="M181" s="11" t="str">
        <f t="shared" si="24"/>
        <v/>
      </c>
      <c r="N181" s="11" t="str">
        <f t="shared" si="25"/>
        <v/>
      </c>
    </row>
    <row r="182" spans="3:14">
      <c r="C182" s="188"/>
      <c r="G182" s="79"/>
      <c r="H182" s="193"/>
      <c r="I182" s="191">
        <f t="shared" si="21"/>
        <v>0</v>
      </c>
      <c r="J182" s="191">
        <f t="shared" si="22"/>
        <v>0</v>
      </c>
      <c r="L182" s="11" t="str">
        <f t="shared" si="23"/>
        <v/>
      </c>
      <c r="M182" s="11" t="str">
        <f t="shared" si="24"/>
        <v/>
      </c>
      <c r="N182" s="11" t="str">
        <f t="shared" si="25"/>
        <v/>
      </c>
    </row>
    <row r="183" spans="3:14">
      <c r="C183" s="188"/>
      <c r="G183" s="79"/>
      <c r="H183" s="193"/>
      <c r="I183" s="191">
        <f t="shared" si="21"/>
        <v>0</v>
      </c>
      <c r="J183" s="191">
        <f t="shared" si="22"/>
        <v>0</v>
      </c>
      <c r="L183" s="11" t="str">
        <f t="shared" si="23"/>
        <v/>
      </c>
      <c r="M183" s="11" t="str">
        <f t="shared" si="24"/>
        <v/>
      </c>
      <c r="N183" s="11" t="str">
        <f t="shared" si="25"/>
        <v/>
      </c>
    </row>
    <row r="184" spans="3:14">
      <c r="C184" s="188"/>
      <c r="G184" s="79"/>
      <c r="H184" s="193"/>
      <c r="I184" s="191">
        <f t="shared" si="21"/>
        <v>0</v>
      </c>
      <c r="J184" s="191">
        <f t="shared" si="22"/>
        <v>0</v>
      </c>
      <c r="L184" s="11" t="str">
        <f t="shared" si="23"/>
        <v/>
      </c>
      <c r="M184" s="11" t="str">
        <f t="shared" si="24"/>
        <v/>
      </c>
      <c r="N184" s="11" t="str">
        <f t="shared" si="25"/>
        <v/>
      </c>
    </row>
    <row r="185" spans="3:14">
      <c r="C185" s="188"/>
      <c r="G185" s="79"/>
      <c r="H185" s="193"/>
      <c r="I185" s="191">
        <f t="shared" si="21"/>
        <v>0</v>
      </c>
      <c r="J185" s="191">
        <f t="shared" si="22"/>
        <v>0</v>
      </c>
      <c r="L185" s="11" t="str">
        <f t="shared" si="23"/>
        <v/>
      </c>
      <c r="M185" s="11" t="str">
        <f t="shared" si="24"/>
        <v/>
      </c>
      <c r="N185" s="11" t="str">
        <f t="shared" si="25"/>
        <v/>
      </c>
    </row>
    <row r="186" spans="3:14">
      <c r="C186" s="188"/>
      <c r="G186" s="79"/>
      <c r="H186" s="193"/>
      <c r="I186" s="191">
        <f t="shared" si="21"/>
        <v>0</v>
      </c>
      <c r="J186" s="191">
        <f t="shared" si="22"/>
        <v>0</v>
      </c>
      <c r="L186" s="11" t="str">
        <f t="shared" si="23"/>
        <v/>
      </c>
      <c r="M186" s="11" t="str">
        <f t="shared" si="24"/>
        <v/>
      </c>
      <c r="N186" s="11" t="str">
        <f t="shared" si="25"/>
        <v/>
      </c>
    </row>
    <row r="187" spans="3:14">
      <c r="C187" s="188"/>
      <c r="G187" s="79"/>
      <c r="H187" s="193"/>
      <c r="I187" s="191">
        <f t="shared" si="21"/>
        <v>0</v>
      </c>
      <c r="J187" s="191">
        <f t="shared" si="22"/>
        <v>0</v>
      </c>
      <c r="L187" s="11" t="str">
        <f t="shared" si="23"/>
        <v/>
      </c>
      <c r="M187" s="11" t="str">
        <f t="shared" si="24"/>
        <v/>
      </c>
      <c r="N187" s="11" t="str">
        <f t="shared" si="25"/>
        <v/>
      </c>
    </row>
    <row r="188" spans="3:14">
      <c r="C188" s="188"/>
      <c r="G188" s="79"/>
      <c r="H188" s="193"/>
      <c r="I188" s="191">
        <f t="shared" si="21"/>
        <v>0</v>
      </c>
      <c r="J188" s="191">
        <f t="shared" si="22"/>
        <v>0</v>
      </c>
      <c r="L188" s="11" t="str">
        <f t="shared" si="23"/>
        <v/>
      </c>
      <c r="M188" s="11" t="str">
        <f t="shared" si="24"/>
        <v/>
      </c>
      <c r="N188" s="11" t="str">
        <f t="shared" si="25"/>
        <v/>
      </c>
    </row>
    <row r="189" spans="3:14">
      <c r="C189" s="188"/>
      <c r="G189" s="79"/>
      <c r="H189" s="193"/>
      <c r="I189" s="191">
        <f t="shared" si="21"/>
        <v>0</v>
      </c>
      <c r="J189" s="191">
        <f t="shared" si="22"/>
        <v>0</v>
      </c>
      <c r="L189" s="11" t="str">
        <f t="shared" si="23"/>
        <v/>
      </c>
      <c r="M189" s="11" t="str">
        <f t="shared" si="24"/>
        <v/>
      </c>
      <c r="N189" s="11" t="str">
        <f t="shared" si="25"/>
        <v/>
      </c>
    </row>
  </sheetData>
  <mergeCells count="7">
    <mergeCell ref="B2:K3"/>
    <mergeCell ref="D5:E5"/>
    <mergeCell ref="F5:G5"/>
    <mergeCell ref="H5:I5"/>
    <mergeCell ref="D6:E6"/>
    <mergeCell ref="F6:G6"/>
    <mergeCell ref="H6:I6"/>
  </mergeCells>
  <phoneticPr fontId="13" type="noConversion"/>
  <conditionalFormatting sqref="I180:I189 I9:I175">
    <cfRule type="cellIs" dxfId="43" priority="1" operator="equal">
      <formula>0</formula>
    </cfRule>
  </conditionalFormatting>
  <dataValidations count="1">
    <dataValidation allowBlank="1" showInputMessage="1" showErrorMessage="1" prompt="Ingrese la fecha por DIA/MES/AÑO_x000a_Ejemplo: 01/02/2024" sqref="C180:C189 C9:C175"/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#REF!</xm:f>
          </x14:formula1>
          <xm:sqref>D9:D95 D180:D189 D100:D175</xm:sqref>
        </x14:dataValidation>
        <x14:dataValidation type="list" allowBlank="1" showInputMessage="1" showErrorMessage="1">
          <x14:formula1>
            <xm:f>#REF!</xm:f>
          </x14:formula1>
          <xm:sqref>F9:F95 F180:F189 F100:F175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X104"/>
  <sheetViews>
    <sheetView topLeftCell="AI1" zoomScale="80" zoomScaleNormal="80" workbookViewId="0">
      <selection activeCell="AM9" sqref="AM9"/>
    </sheetView>
  </sheetViews>
  <sheetFormatPr baseColWidth="10" defaultColWidth="11.42578125" defaultRowHeight="17.25"/>
  <cols>
    <col min="1" max="1" width="11.42578125" style="1"/>
    <col min="2" max="2" width="16.7109375" style="1" customWidth="1"/>
    <col min="3" max="31" width="11.42578125" style="1"/>
    <col min="32" max="32" width="15.140625" style="1" customWidth="1"/>
    <col min="33" max="33" width="16.85546875" style="1" bestFit="1" customWidth="1"/>
    <col min="34" max="34" width="15" style="1" bestFit="1" customWidth="1"/>
    <col min="35" max="36" width="11.42578125" style="1"/>
    <col min="37" max="37" width="24.140625" style="1" bestFit="1" customWidth="1"/>
    <col min="38" max="38" width="14.140625" style="1" bestFit="1" customWidth="1"/>
    <col min="39" max="40" width="15.42578125" style="1" bestFit="1" customWidth="1"/>
    <col min="41" max="41" width="18.5703125" style="1" bestFit="1" customWidth="1"/>
    <col min="42" max="42" width="22.42578125" style="1" bestFit="1" customWidth="1"/>
    <col min="43" max="43" width="14.7109375" style="1" customWidth="1"/>
    <col min="44" max="16384" width="11.42578125" style="1"/>
  </cols>
  <sheetData>
    <row r="2" spans="2:50">
      <c r="B2" s="2" t="s">
        <v>0</v>
      </c>
      <c r="C2" s="3" t="e">
        <f>#REF!</f>
        <v>#REF!</v>
      </c>
      <c r="D2" s="3" t="e">
        <f>#REF!</f>
        <v>#REF!</v>
      </c>
      <c r="E2" s="3" t="e">
        <f>#REF!</f>
        <v>#REF!</v>
      </c>
      <c r="F2" s="3" t="e">
        <f>#REF!</f>
        <v>#REF!</v>
      </c>
      <c r="G2" s="3" t="e">
        <f>#REF!</f>
        <v>#REF!</v>
      </c>
      <c r="H2" s="3" t="e">
        <f>#REF!</f>
        <v>#REF!</v>
      </c>
      <c r="I2" s="3" t="e">
        <f>#REF!</f>
        <v>#REF!</v>
      </c>
      <c r="J2" s="3" t="e">
        <f>#REF!</f>
        <v>#REF!</v>
      </c>
      <c r="K2" s="3" t="e">
        <f>#REF!</f>
        <v>#REF!</v>
      </c>
      <c r="L2" s="3" t="e">
        <f>#REF!</f>
        <v>#REF!</v>
      </c>
      <c r="M2" s="3" t="e">
        <f>#REF!</f>
        <v>#REF!</v>
      </c>
      <c r="N2" s="3" t="e">
        <f>#REF!</f>
        <v>#REF!</v>
      </c>
      <c r="O2" s="2" t="s">
        <v>25</v>
      </c>
      <c r="Q2" s="2" t="s">
        <v>27</v>
      </c>
      <c r="R2" s="3" t="e">
        <f>#REF!</f>
        <v>#REF!</v>
      </c>
      <c r="S2" s="3" t="e">
        <f>#REF!</f>
        <v>#REF!</v>
      </c>
      <c r="T2" s="3" t="e">
        <f>#REF!</f>
        <v>#REF!</v>
      </c>
      <c r="U2" s="3" t="e">
        <f>#REF!</f>
        <v>#REF!</v>
      </c>
      <c r="V2" s="3" t="e">
        <f>#REF!</f>
        <v>#REF!</v>
      </c>
      <c r="W2" s="3" t="e">
        <f>#REF!</f>
        <v>#REF!</v>
      </c>
      <c r="X2" s="3" t="e">
        <f>#REF!</f>
        <v>#REF!</v>
      </c>
      <c r="Y2" s="3" t="e">
        <f>#REF!</f>
        <v>#REF!</v>
      </c>
      <c r="Z2" s="3" t="e">
        <f>#REF!</f>
        <v>#REF!</v>
      </c>
      <c r="AA2" s="3" t="e">
        <f>#REF!</f>
        <v>#REF!</v>
      </c>
      <c r="AB2" s="3" t="e">
        <f>#REF!</f>
        <v>#REF!</v>
      </c>
      <c r="AC2" s="3" t="e">
        <f>#REF!</f>
        <v>#REF!</v>
      </c>
      <c r="AD2" s="2" t="s">
        <v>25</v>
      </c>
      <c r="AF2" s="258" t="s">
        <v>119</v>
      </c>
      <c r="AG2" s="258"/>
      <c r="AH2" s="258"/>
      <c r="AJ2" s="258"/>
      <c r="AK2" s="258"/>
      <c r="AL2" s="258"/>
    </row>
    <row r="3" spans="2:50">
      <c r="B3" s="2" t="s">
        <v>7</v>
      </c>
      <c r="C3" s="2" t="e">
        <f t="shared" ref="C3:N3" si="0">IF(C2="","",MONTH(C2))</f>
        <v>#REF!</v>
      </c>
      <c r="D3" s="2" t="e">
        <f t="shared" si="0"/>
        <v>#REF!</v>
      </c>
      <c r="E3" s="2" t="e">
        <f t="shared" si="0"/>
        <v>#REF!</v>
      </c>
      <c r="F3" s="2" t="e">
        <f t="shared" si="0"/>
        <v>#REF!</v>
      </c>
      <c r="G3" s="2" t="e">
        <f t="shared" si="0"/>
        <v>#REF!</v>
      </c>
      <c r="H3" s="2" t="e">
        <f t="shared" si="0"/>
        <v>#REF!</v>
      </c>
      <c r="I3" s="2" t="e">
        <f t="shared" si="0"/>
        <v>#REF!</v>
      </c>
      <c r="J3" s="2" t="e">
        <f t="shared" si="0"/>
        <v>#REF!</v>
      </c>
      <c r="K3" s="2" t="e">
        <f t="shared" si="0"/>
        <v>#REF!</v>
      </c>
      <c r="L3" s="2" t="e">
        <f t="shared" si="0"/>
        <v>#REF!</v>
      </c>
      <c r="M3" s="2" t="e">
        <f t="shared" si="0"/>
        <v>#REF!</v>
      </c>
      <c r="N3" s="2" t="e">
        <f t="shared" si="0"/>
        <v>#REF!</v>
      </c>
      <c r="O3" s="2"/>
      <c r="Q3" s="2" t="s">
        <v>7</v>
      </c>
      <c r="R3" s="2" t="e">
        <f t="shared" ref="R3:AC3" si="1">IF(R2="","",MONTH(R2))</f>
        <v>#REF!</v>
      </c>
      <c r="S3" s="2" t="e">
        <f t="shared" si="1"/>
        <v>#REF!</v>
      </c>
      <c r="T3" s="2" t="e">
        <f t="shared" si="1"/>
        <v>#REF!</v>
      </c>
      <c r="U3" s="2" t="e">
        <f t="shared" si="1"/>
        <v>#REF!</v>
      </c>
      <c r="V3" s="2" t="e">
        <f t="shared" si="1"/>
        <v>#REF!</v>
      </c>
      <c r="W3" s="2" t="e">
        <f t="shared" si="1"/>
        <v>#REF!</v>
      </c>
      <c r="X3" s="2" t="e">
        <f t="shared" si="1"/>
        <v>#REF!</v>
      </c>
      <c r="Y3" s="2" t="e">
        <f t="shared" si="1"/>
        <v>#REF!</v>
      </c>
      <c r="Z3" s="2" t="e">
        <f t="shared" si="1"/>
        <v>#REF!</v>
      </c>
      <c r="AA3" s="2" t="e">
        <f t="shared" si="1"/>
        <v>#REF!</v>
      </c>
      <c r="AB3" s="2" t="e">
        <f t="shared" si="1"/>
        <v>#REF!</v>
      </c>
      <c r="AC3" s="2" t="e">
        <f t="shared" si="1"/>
        <v>#REF!</v>
      </c>
      <c r="AD3" s="2"/>
      <c r="AG3" s="1" t="s">
        <v>0</v>
      </c>
      <c r="AH3" s="1" t="s">
        <v>1</v>
      </c>
      <c r="AI3" s="1" t="s">
        <v>2</v>
      </c>
      <c r="AM3" s="7" t="e">
        <f>#REF!</f>
        <v>#REF!</v>
      </c>
      <c r="AN3" s="7" t="e">
        <f>#REF!</f>
        <v>#REF!</v>
      </c>
      <c r="AO3" s="7" t="e">
        <f>#REF!</f>
        <v>#REF!</v>
      </c>
      <c r="AP3" s="7" t="e">
        <f>#REF!</f>
        <v>#REF!</v>
      </c>
      <c r="AQ3" s="7" t="e">
        <f>#REF!</f>
        <v>#REF!</v>
      </c>
      <c r="AR3" s="7" t="e">
        <f>#REF!</f>
        <v>#REF!</v>
      </c>
      <c r="AS3" s="7" t="e">
        <f>#REF!</f>
        <v>#REF!</v>
      </c>
      <c r="AT3" s="7" t="e">
        <f>#REF!</f>
        <v>#REF!</v>
      </c>
      <c r="AU3" s="7" t="e">
        <f>#REF!</f>
        <v>#REF!</v>
      </c>
      <c r="AV3" s="7" t="e">
        <f>#REF!</f>
        <v>#REF!</v>
      </c>
      <c r="AW3" s="7" t="e">
        <f>#REF!</f>
        <v>#REF!</v>
      </c>
      <c r="AX3" s="7" t="e">
        <f>#REF!</f>
        <v>#REF!</v>
      </c>
    </row>
    <row r="4" spans="2:50">
      <c r="B4" s="2" t="s">
        <v>8</v>
      </c>
      <c r="C4" s="2" t="e">
        <f>IF(C2="","",YEAR(C2))</f>
        <v>#REF!</v>
      </c>
      <c r="D4" s="2" t="e">
        <f>IF(D2="","",YEAR(D2))</f>
        <v>#REF!</v>
      </c>
      <c r="E4" s="2" t="e">
        <f t="shared" ref="E4:N4" si="2">IF(E2="","",YEAR(E2))</f>
        <v>#REF!</v>
      </c>
      <c r="F4" s="2" t="e">
        <f t="shared" si="2"/>
        <v>#REF!</v>
      </c>
      <c r="G4" s="2" t="e">
        <f t="shared" si="2"/>
        <v>#REF!</v>
      </c>
      <c r="H4" s="2" t="e">
        <f t="shared" si="2"/>
        <v>#REF!</v>
      </c>
      <c r="I4" s="2" t="e">
        <f t="shared" si="2"/>
        <v>#REF!</v>
      </c>
      <c r="J4" s="2" t="e">
        <f t="shared" si="2"/>
        <v>#REF!</v>
      </c>
      <c r="K4" s="2" t="e">
        <f t="shared" si="2"/>
        <v>#REF!</v>
      </c>
      <c r="L4" s="2" t="e">
        <f t="shared" si="2"/>
        <v>#REF!</v>
      </c>
      <c r="M4" s="2" t="e">
        <f t="shared" si="2"/>
        <v>#REF!</v>
      </c>
      <c r="N4" s="2" t="e">
        <f t="shared" si="2"/>
        <v>#REF!</v>
      </c>
      <c r="O4" s="2"/>
      <c r="Q4" s="2" t="s">
        <v>8</v>
      </c>
      <c r="R4" s="2" t="e">
        <f>IF(R2="","",YEAR(R2))</f>
        <v>#REF!</v>
      </c>
      <c r="S4" s="2" t="e">
        <f>IF(S2="","",YEAR(S2))</f>
        <v>#REF!</v>
      </c>
      <c r="T4" s="2" t="e">
        <f t="shared" ref="T4:AC4" si="3">IF(T2="","",YEAR(T2))</f>
        <v>#REF!</v>
      </c>
      <c r="U4" s="2" t="e">
        <f t="shared" si="3"/>
        <v>#REF!</v>
      </c>
      <c r="V4" s="2" t="e">
        <f t="shared" si="3"/>
        <v>#REF!</v>
      </c>
      <c r="W4" s="2" t="e">
        <f t="shared" si="3"/>
        <v>#REF!</v>
      </c>
      <c r="X4" s="2" t="e">
        <f t="shared" si="3"/>
        <v>#REF!</v>
      </c>
      <c r="Y4" s="2" t="e">
        <f t="shared" si="3"/>
        <v>#REF!</v>
      </c>
      <c r="Z4" s="2" t="e">
        <f t="shared" si="3"/>
        <v>#REF!</v>
      </c>
      <c r="AA4" s="2" t="e">
        <f t="shared" si="3"/>
        <v>#REF!</v>
      </c>
      <c r="AB4" s="2" t="e">
        <f t="shared" si="3"/>
        <v>#REF!</v>
      </c>
      <c r="AC4" s="2" t="e">
        <f t="shared" si="3"/>
        <v>#REF!</v>
      </c>
      <c r="AD4" s="2"/>
      <c r="AF4" s="5" t="e">
        <f>#REF!</f>
        <v>#REF!</v>
      </c>
      <c r="AG4" s="1" t="e">
        <f>#REF!</f>
        <v>#REF!</v>
      </c>
      <c r="AH4" s="1" t="e">
        <f>#REF!</f>
        <v>#REF!</v>
      </c>
      <c r="AI4" s="1" t="e">
        <f>#REF!</f>
        <v>#REF!</v>
      </c>
      <c r="AJ4" s="6"/>
      <c r="AM4" s="2" t="e">
        <f>IF(AM3="","",MONTH(AM3))</f>
        <v>#REF!</v>
      </c>
      <c r="AN4" s="2" t="e">
        <f>IF(AN3="","",MONTH(AN3))</f>
        <v>#REF!</v>
      </c>
      <c r="AO4" s="2" t="e">
        <f t="shared" ref="AO4:AX4" si="4">IF(AO3="","",MONTH(AO3))</f>
        <v>#REF!</v>
      </c>
      <c r="AP4" s="2" t="e">
        <f t="shared" si="4"/>
        <v>#REF!</v>
      </c>
      <c r="AQ4" s="2" t="e">
        <f t="shared" si="4"/>
        <v>#REF!</v>
      </c>
      <c r="AR4" s="2" t="e">
        <f t="shared" si="4"/>
        <v>#REF!</v>
      </c>
      <c r="AS4" s="2" t="e">
        <f t="shared" si="4"/>
        <v>#REF!</v>
      </c>
      <c r="AT4" s="2" t="e">
        <f t="shared" si="4"/>
        <v>#REF!</v>
      </c>
      <c r="AU4" s="2" t="e">
        <f t="shared" si="4"/>
        <v>#REF!</v>
      </c>
      <c r="AV4" s="2" t="e">
        <f t="shared" si="4"/>
        <v>#REF!</v>
      </c>
      <c r="AW4" s="2" t="e">
        <f t="shared" si="4"/>
        <v>#REF!</v>
      </c>
      <c r="AX4" s="2" t="e">
        <f t="shared" si="4"/>
        <v>#REF!</v>
      </c>
    </row>
    <row r="5" spans="2:50" ht="27" customHeight="1">
      <c r="AF5" s="5" t="e">
        <f>#REF!</f>
        <v>#REF!</v>
      </c>
      <c r="AG5" s="1" t="e">
        <f>#REF!</f>
        <v>#REF!</v>
      </c>
      <c r="AH5" s="1" t="e">
        <f>#REF!</f>
        <v>#REF!</v>
      </c>
      <c r="AI5" s="1" t="e">
        <f>#REF!</f>
        <v>#REF!</v>
      </c>
      <c r="AJ5" s="6"/>
      <c r="AM5" s="2" t="e">
        <f>IF(AM3="","",YEAR(AM3))</f>
        <v>#REF!</v>
      </c>
      <c r="AN5" s="2" t="e">
        <f t="shared" ref="AN5:AX5" si="5">IF(AN3="","",YEAR(AN3))</f>
        <v>#REF!</v>
      </c>
      <c r="AO5" s="2" t="e">
        <f t="shared" si="5"/>
        <v>#REF!</v>
      </c>
      <c r="AP5" s="2" t="e">
        <f t="shared" si="5"/>
        <v>#REF!</v>
      </c>
      <c r="AQ5" s="2" t="e">
        <f t="shared" si="5"/>
        <v>#REF!</v>
      </c>
      <c r="AR5" s="2" t="e">
        <f t="shared" si="5"/>
        <v>#REF!</v>
      </c>
      <c r="AS5" s="2" t="e">
        <f t="shared" si="5"/>
        <v>#REF!</v>
      </c>
      <c r="AT5" s="2" t="e">
        <f t="shared" si="5"/>
        <v>#REF!</v>
      </c>
      <c r="AU5" s="2" t="e">
        <f t="shared" si="5"/>
        <v>#REF!</v>
      </c>
      <c r="AV5" s="2" t="e">
        <f t="shared" si="5"/>
        <v>#REF!</v>
      </c>
      <c r="AW5" s="2" t="e">
        <f t="shared" si="5"/>
        <v>#REF!</v>
      </c>
      <c r="AX5" s="2" t="e">
        <f t="shared" si="5"/>
        <v>#REF!</v>
      </c>
    </row>
    <row r="6" spans="2:50">
      <c r="B6" s="257" t="s">
        <v>120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Q6" s="257" t="s">
        <v>121</v>
      </c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F6" s="5" t="e">
        <f>#REF!</f>
        <v>#REF!</v>
      </c>
      <c r="AG6" s="1" t="e">
        <f>#REF!</f>
        <v>#REF!</v>
      </c>
      <c r="AH6" s="1" t="e">
        <f>#REF!</f>
        <v>#REF!</v>
      </c>
      <c r="AI6" s="1" t="e">
        <f>#REF!</f>
        <v>#REF!</v>
      </c>
      <c r="AJ6" s="6"/>
      <c r="AK6" s="257" t="s">
        <v>31</v>
      </c>
      <c r="AL6" s="257"/>
      <c r="AM6" s="2">
        <f>SUMIFS(Ingresos!$J$9:$J$3900,Ingresos!$L$9:$L$3900,$AM$4,Ingresos!$M$9:$M$3900,$AM$5)</f>
        <v>0</v>
      </c>
      <c r="AN6" s="2">
        <f>SUMIFS(Ingresos!$J$9:$J$3900,Ingresos!$L$9:$L$3900,$AN$4,Ingresos!$M$9:$M$3900,$AN$5)</f>
        <v>0</v>
      </c>
      <c r="AO6" s="2">
        <f>SUMIFS(Ingresos!$J$9:$J$3900,Ingresos!$L$9:$L$3900,$AO$4,Ingresos!$M$9:$M$3900,$AO$5)</f>
        <v>0</v>
      </c>
      <c r="AP6" s="2">
        <f>SUMIFS(Ingresos!$J$9:$J$3900,Ingresos!$L$9:$L$3900,$AP$4,Ingresos!$M$9:$M$3900,$AP$5)</f>
        <v>0</v>
      </c>
      <c r="AQ6" s="2">
        <f>SUMIFS(Ingresos!$J$9:$J$3900,Ingresos!$L$9:$L$3900,$AQ$4,Ingresos!$M$9:$M$3900,$AQ$5)</f>
        <v>0</v>
      </c>
      <c r="AR6" s="2">
        <f>SUMIFS(Ingresos!$J$9:$J$3900,Ingresos!$L$9:$L$3900,$AR$4,Ingresos!$M$9:$M$3900,$AR$5)</f>
        <v>0</v>
      </c>
      <c r="AS6" s="2">
        <f>SUMIFS(Ingresos!$J$9:$J$3900,Ingresos!$L$9:$L$3900,$AS$4,Ingresos!$M$9:$M$3900,$AS$5)</f>
        <v>0</v>
      </c>
      <c r="AT6" s="2">
        <f>SUMIFS(Ingresos!$J$9:$J$3900,Ingresos!$L$9:$L$3900,$AT$4,Ingresos!$M$9:$M$3900,$AT$5)</f>
        <v>0</v>
      </c>
      <c r="AU6" s="2">
        <f>SUMIFS(Ingresos!$J$9:$J$3900,Ingresos!$L$9:$L$3900,$AU$4,Ingresos!$M$9:$M$3900,$AU$5)</f>
        <v>0</v>
      </c>
      <c r="AV6" s="2">
        <f>SUMIFS(Ingresos!$J$9:$J$3900,Ingresos!$L$9:$L$3900,$AV$4,Ingresos!$M$9:$M$3900,$AV$5)</f>
        <v>0</v>
      </c>
      <c r="AW6" s="2">
        <f>SUMIFS(Ingresos!$J$9:$J$3900,Ingresos!$L$9:$L$3900,$AW$4,Ingresos!$M$9:$M$3900,$AW$5)</f>
        <v>0</v>
      </c>
      <c r="AX6" s="2">
        <f>SUMIFS(Ingresos!$J$9:$J$3900,Ingresos!$L$9:$L$3900,$AX$4,Ingresos!$M$9:$M$3900,$AX$5)</f>
        <v>0</v>
      </c>
    </row>
    <row r="7" spans="2:50">
      <c r="B7" s="2" t="e">
        <f>#REF!</f>
        <v>#REF!</v>
      </c>
      <c r="C7" s="2">
        <f>SUMIFS(Ingresos!$J$9:$J$3900, Ingresos!$L$9:$L$3900, $C$3, Ingresos!$M$9:$M$3900, $C$4, Ingresos!$D$9:$D$3900, B7)</f>
        <v>0</v>
      </c>
      <c r="D7" s="2">
        <f>SUMIFS(Ingresos!$J$9:$J$3900, Ingresos!$L$9:$L$3900, $D$3, Ingresos!$M$9:$M$3900, $D$4, Ingresos!$D$9:$D$3900, B7)</f>
        <v>0</v>
      </c>
      <c r="E7" s="2">
        <f>SUMIFS(Ingresos!$J$9:$J$3900, Ingresos!$L$9:$L$3900, $E$3, Ingresos!$M$9:$M$3900, $E$4, Ingresos!$D$9:$D$3900, B7)</f>
        <v>0</v>
      </c>
      <c r="F7" s="2">
        <f>SUMIFS(Ingresos!$J$9:$J$3900, Ingresos!$L$9:$L$3900, $F$3, Ingresos!$M$9:$M$3900, $F$4, Ingresos!$D$9:$D$3900, B7)</f>
        <v>0</v>
      </c>
      <c r="G7" s="2">
        <f>SUMIFS(Ingresos!$J$9:$J$3900, Ingresos!$L$9:$L$3900, $G$3, Ingresos!$M$9:$M$3900, $G$4, Ingresos!$D$9:$D$3900, B7)</f>
        <v>0</v>
      </c>
      <c r="H7" s="2">
        <f>SUMIFS(Ingresos!$J$9:$J$3900, Ingresos!$L$9:$L$3900, $H$3, Ingresos!$M$9:$M$3900, $H$4, Ingresos!$D$9:$D$3900, B7)</f>
        <v>0</v>
      </c>
      <c r="I7" s="2">
        <f>SUMIFS(Ingresos!$J$9:$J$3900, Ingresos!$L$9:$L$3900, $I$3, Ingresos!$M$9:$M$3900, $I$4, Ingresos!$D$9:$D$3900, B7)</f>
        <v>0</v>
      </c>
      <c r="J7" s="2">
        <f>SUMIFS(Ingresos!$J$9:$J$3900, Ingresos!$L$9:$L$3900, $J$3, Ingresos!$M$9:$M$3900, $J$4, Ingresos!$D$9:$D$3900, B7)</f>
        <v>0</v>
      </c>
      <c r="K7" s="2">
        <f>SUMIFS(Ingresos!$J$9:$J$3900, Ingresos!$L$9:$L$3900, $K$3, Ingresos!$M$9:$M$3900, $K$4, Ingresos!$D$9:$D$3900, B7)</f>
        <v>0</v>
      </c>
      <c r="L7" s="2">
        <f>SUMIFS(Ingresos!$J$9:$J$3900, Ingresos!$L$9:$L$3900, $L$3, Ingresos!$M$9:$M$3900, $L$4, Ingresos!$D$9:$D$3900, B7)</f>
        <v>0</v>
      </c>
      <c r="M7" s="2">
        <f>SUMIFS(Ingresos!$J$9:$J$3900, Ingresos!$L$9:$L$3900, $M$3, Ingresos!$M$9:$M$3900, $M$4, Ingresos!$D$9:$D$3900, B7)</f>
        <v>0</v>
      </c>
      <c r="N7" s="2">
        <f>SUMIFS(Ingresos!$J$9:$J$3900, Ingresos!$L$9:$L$3900, $N$3, Ingresos!$M$9:$M$3900, $N$4, Ingresos!$D$9:$D$3900, B7)</f>
        <v>0</v>
      </c>
      <c r="O7" s="2">
        <f>SUM(C7:N7)</f>
        <v>0</v>
      </c>
      <c r="Q7" s="2" t="e">
        <f>#REF!</f>
        <v>#REF!</v>
      </c>
      <c r="R7" s="2">
        <f>SUMIFS(Gastos!$J$9:$J$4091, Gastos!$L$9:$L$4091, $R$3, Gastos!$M$9:$M$4091, $R$4, Gastos!$D$9:$D$4091, Q7)</f>
        <v>0</v>
      </c>
      <c r="S7" s="2">
        <f>SUMIFS(Gastos!$J$9:$J$4091, Gastos!$L$9:$L$4091, $S$3, Gastos!$M$9:$M$4091, $S$4, Gastos!$D$9:$D$4091, Q7)</f>
        <v>0</v>
      </c>
      <c r="T7" s="2">
        <f>SUMIFS(Gastos!$J$9:$J$4091, Gastos!$L$9:$L$4091, $T$3, Gastos!$M$9:$M$4091, $T$4, Gastos!$D$9:$D$4091, Q7)</f>
        <v>0</v>
      </c>
      <c r="U7" s="2">
        <f>SUMIFS(Gastos!$J$9:$J$4091, Gastos!$L$9:$L$4091, $U$3, Gastos!$M$9:$M$4091, $U$4, Gastos!$D$9:$D$4091, Q7)</f>
        <v>0</v>
      </c>
      <c r="V7" s="2">
        <f>SUMIFS(Gastos!$J$9:$J$4091, Gastos!$L$9:$L$4091, $V$3, Gastos!$M$9:$M$4091, $V$4, Gastos!$D$9:$D$4091, Q7)</f>
        <v>0</v>
      </c>
      <c r="W7" s="2">
        <f>SUMIFS(Gastos!$J$9:$J$4091, Gastos!$L$9:$L$4091, $W$3, Gastos!$M$9:$M$4091, $W$4, Gastos!$D$9:$D$4091, Q7)</f>
        <v>0</v>
      </c>
      <c r="X7" s="2">
        <f>SUMIFS(Gastos!$J$9:$J$4091, Gastos!$L$9:$L$4091, $X$3, Gastos!$M$9:$M$4091, $X$4, Gastos!$D$9:$D$4091, Q7)</f>
        <v>0</v>
      </c>
      <c r="Y7" s="2">
        <f>SUMIFS(Gastos!$J$9:$J$4091, Gastos!$L$9:$L$4091, $Y$3, Gastos!$M$9:$M$4091, $Y$4, Gastos!$D$9:$D$4091, Q7)</f>
        <v>0</v>
      </c>
      <c r="Z7" s="2">
        <f>SUMIFS(Gastos!$J$9:$J$4091, Gastos!$L$9:$L$4091, $Z$3, Gastos!$M$9:$M$4091, $Z$4, Gastos!$D$9:$D$4091, Q7)</f>
        <v>0</v>
      </c>
      <c r="AA7" s="2">
        <f>SUMIFS(Gastos!$J$9:$J$4091, Gastos!$L$9:$L$4091, $AA$3, Gastos!$M$9:$M$4091, $AA$4, Gastos!$D$9:$D$4091, Q7)</f>
        <v>0</v>
      </c>
      <c r="AB7" s="2">
        <f>SUMIFS(Gastos!$J$9:$J$4091, Gastos!$L$9:$L$4091, $AB$3, Gastos!$M$9:$M$4091, $AB$4, Gastos!$D$9:$D$4091, Q7)</f>
        <v>0</v>
      </c>
      <c r="AC7" s="2">
        <f>SUMIFS(Gastos!$J$9:$J$4091, Gastos!$L$9:$L$4091, $AC$3, Gastos!$M$9:$M$4091, $AC$4, Gastos!$D$9:$D$4091, Q7)</f>
        <v>0</v>
      </c>
      <c r="AD7" s="2">
        <f>SUM(R7:AC7)</f>
        <v>0</v>
      </c>
      <c r="AF7" s="5" t="e">
        <f>#REF!</f>
        <v>#REF!</v>
      </c>
      <c r="AG7" s="1" t="e">
        <f>#REF!</f>
        <v>#REF!</v>
      </c>
      <c r="AH7" s="1" t="e">
        <f>#REF!</f>
        <v>#REF!</v>
      </c>
      <c r="AI7" s="1" t="e">
        <f>#REF!</f>
        <v>#REF!</v>
      </c>
      <c r="AJ7" s="6"/>
      <c r="AK7" s="257" t="s">
        <v>122</v>
      </c>
      <c r="AL7" s="257"/>
      <c r="AM7" s="2" t="e">
        <f>#REF!+#REF!</f>
        <v>#REF!</v>
      </c>
      <c r="AN7" s="2" t="e">
        <f>#REF!+#REF!</f>
        <v>#REF!</v>
      </c>
      <c r="AO7" s="2" t="e">
        <f>#REF!+#REF!</f>
        <v>#REF!</v>
      </c>
      <c r="AP7" s="2" t="e">
        <f>#REF!+#REF!</f>
        <v>#REF!</v>
      </c>
      <c r="AQ7" s="2" t="e">
        <f>#REF!+#REF!</f>
        <v>#REF!</v>
      </c>
      <c r="AR7" s="2" t="e">
        <f>#REF!+#REF!</f>
        <v>#REF!</v>
      </c>
      <c r="AS7" s="2" t="e">
        <f>#REF!+#REF!</f>
        <v>#REF!</v>
      </c>
      <c r="AT7" s="2" t="e">
        <f>#REF!+#REF!</f>
        <v>#REF!</v>
      </c>
      <c r="AU7" s="2" t="e">
        <f>#REF!+#REF!</f>
        <v>#REF!</v>
      </c>
      <c r="AV7" s="2" t="e">
        <f>#REF!+#REF!</f>
        <v>#REF!</v>
      </c>
      <c r="AW7" s="2" t="e">
        <f>#REF!+#REF!</f>
        <v>#REF!</v>
      </c>
      <c r="AX7" s="2" t="e">
        <f>#REF!+#REF!</f>
        <v>#REF!</v>
      </c>
    </row>
    <row r="8" spans="2:50">
      <c r="B8" s="2" t="e">
        <f>#REF!</f>
        <v>#REF!</v>
      </c>
      <c r="C8" s="2">
        <f>SUMIFS(Ingresos!$J$9:$J$3900, Ingresos!$L$9:$L$3900, $C$3, Ingresos!$M$9:$M$3900, $C$4, Ingresos!$D$9:$D$3900, B8)</f>
        <v>0</v>
      </c>
      <c r="D8" s="2">
        <f>SUMIFS(Ingresos!$J$9:$J$3900, Ingresos!$L$9:$L$3900, $D$3, Ingresos!$M$9:$M$3900, $D$4, Ingresos!$D$9:$D$3900, B8)</f>
        <v>0</v>
      </c>
      <c r="E8" s="2">
        <f>SUMIFS(Ingresos!$J$9:$J$3900, Ingresos!$L$9:$L$3900, $E$3, Ingresos!$M$9:$M$3900, $E$4, Ingresos!$D$9:$D$3900, B8)</f>
        <v>0</v>
      </c>
      <c r="F8" s="2">
        <f>SUMIFS(Ingresos!$J$9:$J$3900, Ingresos!$L$9:$L$3900, $F$3, Ingresos!$M$9:$M$3900, $F$4, Ingresos!$D$9:$D$3900, B8)</f>
        <v>0</v>
      </c>
      <c r="G8" s="2">
        <f>SUMIFS(Ingresos!$J$9:$J$3900, Ingresos!$L$9:$L$3900, $G$3, Ingresos!$M$9:$M$3900, $G$4, Ingresos!$D$9:$D$3900, B8)</f>
        <v>0</v>
      </c>
      <c r="H8" s="2">
        <f>SUMIFS(Ingresos!$J$9:$J$3900, Ingresos!$L$9:$L$3900, $H$3, Ingresos!$M$9:$M$3900, $H$4, Ingresos!$D$9:$D$3900, B8)</f>
        <v>0</v>
      </c>
      <c r="I8" s="2">
        <f>SUMIFS(Ingresos!$J$9:$J$3900, Ingresos!$L$9:$L$3900, $I$3, Ingresos!$M$9:$M$3900, $I$4, Ingresos!$D$9:$D$3900, B8)</f>
        <v>0</v>
      </c>
      <c r="J8" s="2">
        <f>SUMIFS(Ingresos!$J$9:$J$3900, Ingresos!$L$9:$L$3900, $J$3, Ingresos!$M$9:$M$3900, $J$4, Ingresos!$D$9:$D$3900, B8)</f>
        <v>0</v>
      </c>
      <c r="K8" s="2">
        <f>SUMIFS(Ingresos!$J$9:$J$3900, Ingresos!$L$9:$L$3900, $K$3, Ingresos!$M$9:$M$3900, $K$4, Ingresos!$D$9:$D$3900, B8)</f>
        <v>0</v>
      </c>
      <c r="L8" s="2">
        <f>SUMIFS(Ingresos!$J$9:$J$3900, Ingresos!$L$9:$L$3900, $L$3, Ingresos!$M$9:$M$3900, $L$4, Ingresos!$D$9:$D$3900, B8)</f>
        <v>0</v>
      </c>
      <c r="M8" s="2">
        <f>SUMIFS(Ingresos!$J$9:$J$3900, Ingresos!$L$9:$L$3900, $M$3, Ingresos!$M$9:$M$3900, $M$4, Ingresos!$D$9:$D$3900, B8)</f>
        <v>0</v>
      </c>
      <c r="N8" s="2">
        <f>SUMIFS(Ingresos!$J$9:$J$3900, Ingresos!$L$9:$L$3900, $N$3, Ingresos!$M$9:$M$3900, $N$4, Ingresos!$D$9:$D$3900, B8)</f>
        <v>0</v>
      </c>
      <c r="O8" s="2">
        <f t="shared" ref="O8:O51" si="6">SUM(C8:N8)</f>
        <v>0</v>
      </c>
      <c r="Q8" s="2" t="e">
        <f>#REF!</f>
        <v>#REF!</v>
      </c>
      <c r="R8" s="2">
        <f>SUMIFS(Gastos!$J$9:$J$4091, Gastos!$L$9:$L$4091, $R$3, Gastos!$M$9:$M$4091, $R$4, Gastos!$D$9:$D$4091, Q8)</f>
        <v>0</v>
      </c>
      <c r="S8" s="2">
        <f>SUMIFS(Gastos!$J$9:$J$4091, Gastos!$L$9:$L$4091, $S$3, Gastos!$M$9:$M$4091, $S$4, Gastos!$D$9:$D$4091, Q8)</f>
        <v>0</v>
      </c>
      <c r="T8" s="2">
        <f>SUMIFS(Gastos!$J$9:$J$4091, Gastos!$L$9:$L$4091, $T$3, Gastos!$M$9:$M$4091, $T$4, Gastos!$D$9:$D$4091, Q8)</f>
        <v>0</v>
      </c>
      <c r="U8" s="2">
        <f>SUMIFS(Gastos!$J$9:$J$4091, Gastos!$L$9:$L$4091, $U$3, Gastos!$M$9:$M$4091, $U$4, Gastos!$D$9:$D$4091, Q8)</f>
        <v>0</v>
      </c>
      <c r="V8" s="2">
        <f>SUMIFS(Gastos!$J$9:$J$4091, Gastos!$L$9:$L$4091, $V$3, Gastos!$M$9:$M$4091, $V$4, Gastos!$D$9:$D$4091, Q8)</f>
        <v>0</v>
      </c>
      <c r="W8" s="2">
        <f>SUMIFS(Gastos!$J$9:$J$4091, Gastos!$L$9:$L$4091, $W$3, Gastos!$M$9:$M$4091, $W$4, Gastos!$D$9:$D$4091, Q8)</f>
        <v>0</v>
      </c>
      <c r="X8" s="2">
        <f>SUMIFS(Gastos!$J$9:$J$4091, Gastos!$L$9:$L$4091, $X$3, Gastos!$M$9:$M$4091, $X$4, Gastos!$D$9:$D$4091, Q8)</f>
        <v>0</v>
      </c>
      <c r="Y8" s="2">
        <f>SUMIFS(Gastos!$J$9:$J$4091, Gastos!$L$9:$L$4091, $Y$3, Gastos!$M$9:$M$4091, $Y$4, Gastos!$D$9:$D$4091, Q8)</f>
        <v>0</v>
      </c>
      <c r="Z8" s="2">
        <f>SUMIFS(Gastos!$J$9:$J$4091, Gastos!$L$9:$L$4091, $Z$3, Gastos!$M$9:$M$4091, $Z$4, Gastos!$D$9:$D$4091, Q8)</f>
        <v>0</v>
      </c>
      <c r="AA8" s="2">
        <f>SUMIFS(Gastos!$J$9:$J$4091, Gastos!$L$9:$L$4091, $AA$3, Gastos!$M$9:$M$4091, $AA$4, Gastos!$D$9:$D$4091, Q8)</f>
        <v>0</v>
      </c>
      <c r="AB8" s="2">
        <f>SUMIFS(Gastos!$J$9:$J$4091, Gastos!$L$9:$L$4091, $AB$3, Gastos!$M$9:$M$4091, $AB$4, Gastos!$D$9:$D$4091, Q8)</f>
        <v>0</v>
      </c>
      <c r="AC8" s="2">
        <f>SUMIFS(Gastos!$J$9:$J$4091, Gastos!$L$9:$L$4091, $AC$3, Gastos!$M$9:$M$4091, $AC$4, Gastos!$D$9:$D$4091, Q8)</f>
        <v>0</v>
      </c>
      <c r="AD8" s="2">
        <f t="shared" ref="AD8:AD51" si="7">SUM(R8:AC8)</f>
        <v>0</v>
      </c>
      <c r="AF8" s="5" t="e">
        <f>#REF!</f>
        <v>#REF!</v>
      </c>
      <c r="AG8" s="1" t="e">
        <f>#REF!</f>
        <v>#REF!</v>
      </c>
      <c r="AH8" s="1" t="e">
        <f>#REF!</f>
        <v>#REF!</v>
      </c>
      <c r="AI8" s="1" t="e">
        <f>#REF!</f>
        <v>#REF!</v>
      </c>
      <c r="AJ8" s="6"/>
    </row>
    <row r="9" spans="2:50">
      <c r="B9" s="2" t="e">
        <f>#REF!</f>
        <v>#REF!</v>
      </c>
      <c r="C9" s="2">
        <f>SUMIFS(Ingresos!$J$9:$J$3900, Ingresos!$L$9:$L$3900, $C$3, Ingresos!$M$9:$M$3900, $C$4, Ingresos!$D$9:$D$3900, B9)</f>
        <v>0</v>
      </c>
      <c r="D9" s="2">
        <f>SUMIFS(Ingresos!$J$9:$J$3900, Ingresos!$L$9:$L$3900, $D$3, Ingresos!$M$9:$M$3900, $D$4, Ingresos!$D$9:$D$3900, B9)</f>
        <v>0</v>
      </c>
      <c r="E9" s="2">
        <f>SUMIFS(Ingresos!$J$9:$J$3900, Ingresos!$L$9:$L$3900, $E$3, Ingresos!$M$9:$M$3900, $E$4, Ingresos!$D$9:$D$3900, B9)</f>
        <v>0</v>
      </c>
      <c r="F9" s="2">
        <f>SUMIFS(Ingresos!$J$9:$J$3900, Ingresos!$L$9:$L$3900, $F$3, Ingresos!$M$9:$M$3900, $F$4, Ingresos!$D$9:$D$3900, B9)</f>
        <v>0</v>
      </c>
      <c r="G9" s="2">
        <f>SUMIFS(Ingresos!$J$9:$J$3900, Ingresos!$L$9:$L$3900, $G$3, Ingresos!$M$9:$M$3900, $G$4, Ingresos!$D$9:$D$3900, B9)</f>
        <v>0</v>
      </c>
      <c r="H9" s="2">
        <f>SUMIFS(Ingresos!$J$9:$J$3900, Ingresos!$L$9:$L$3900, $H$3, Ingresos!$M$9:$M$3900, $H$4, Ingresos!$D$9:$D$3900, B9)</f>
        <v>0</v>
      </c>
      <c r="I9" s="2">
        <f>SUMIFS(Ingresos!$J$9:$J$3900, Ingresos!$L$9:$L$3900, $I$3, Ingresos!$M$9:$M$3900, $I$4, Ingresos!$D$9:$D$3900, B9)</f>
        <v>0</v>
      </c>
      <c r="J9" s="2">
        <f>SUMIFS(Ingresos!$J$9:$J$3900, Ingresos!$L$9:$L$3900, $J$3, Ingresos!$M$9:$M$3900, $J$4, Ingresos!$D$9:$D$3900, B9)</f>
        <v>0</v>
      </c>
      <c r="K9" s="2">
        <f>SUMIFS(Ingresos!$J$9:$J$3900, Ingresos!$L$9:$L$3900, $K$3, Ingresos!$M$9:$M$3900, $K$4, Ingresos!$D$9:$D$3900, B9)</f>
        <v>0</v>
      </c>
      <c r="L9" s="2">
        <f>SUMIFS(Ingresos!$J$9:$J$3900, Ingresos!$L$9:$L$3900, $L$3, Ingresos!$M$9:$M$3900, $L$4, Ingresos!$D$9:$D$3900, B9)</f>
        <v>0</v>
      </c>
      <c r="M9" s="2">
        <f>SUMIFS(Ingresos!$J$9:$J$3900, Ingresos!$L$9:$L$3900, $M$3, Ingresos!$M$9:$M$3900, $M$4, Ingresos!$D$9:$D$3900, B9)</f>
        <v>0</v>
      </c>
      <c r="N9" s="2">
        <f>SUMIFS(Ingresos!$J$9:$J$3900, Ingresos!$L$9:$L$3900, $N$3, Ingresos!$M$9:$M$3900, $N$4, Ingresos!$D$9:$D$3900, B9)</f>
        <v>0</v>
      </c>
      <c r="O9" s="2">
        <f t="shared" si="6"/>
        <v>0</v>
      </c>
      <c r="Q9" s="2" t="e">
        <f>#REF!</f>
        <v>#REF!</v>
      </c>
      <c r="R9" s="2">
        <f>SUMIFS(Gastos!$J$9:$J$4091, Gastos!$L$9:$L$4091, $R$3, Gastos!$M$9:$M$4091, $R$4, Gastos!$D$9:$D$4091, Q9)</f>
        <v>0</v>
      </c>
      <c r="S9" s="2">
        <f>SUMIFS(Gastos!$J$9:$J$4091, Gastos!$L$9:$L$4091, $S$3, Gastos!$M$9:$M$4091, $S$4, Gastos!$D$9:$D$4091, Q9)</f>
        <v>0</v>
      </c>
      <c r="T9" s="2">
        <f>SUMIFS(Gastos!$J$9:$J$4091, Gastos!$L$9:$L$4091, $T$3, Gastos!$M$9:$M$4091, $T$4, Gastos!$D$9:$D$4091, Q9)</f>
        <v>0</v>
      </c>
      <c r="U9" s="2">
        <f>SUMIFS(Gastos!$J$9:$J$4091, Gastos!$L$9:$L$4091, $U$3, Gastos!$M$9:$M$4091, $U$4, Gastos!$D$9:$D$4091, Q9)</f>
        <v>0</v>
      </c>
      <c r="V9" s="2">
        <f>SUMIFS(Gastos!$J$9:$J$4091, Gastos!$L$9:$L$4091, $V$3, Gastos!$M$9:$M$4091, $V$4, Gastos!$D$9:$D$4091, Q9)</f>
        <v>0</v>
      </c>
      <c r="W9" s="2">
        <f>SUMIFS(Gastos!$J$9:$J$4091, Gastos!$L$9:$L$4091, $W$3, Gastos!$M$9:$M$4091, $W$4, Gastos!$D$9:$D$4091, Q9)</f>
        <v>0</v>
      </c>
      <c r="X9" s="2">
        <f>SUMIFS(Gastos!$J$9:$J$4091, Gastos!$L$9:$L$4091, $X$3, Gastos!$M$9:$M$4091, $X$4, Gastos!$D$9:$D$4091, Q9)</f>
        <v>0</v>
      </c>
      <c r="Y9" s="2">
        <f>SUMIFS(Gastos!$J$9:$J$4091, Gastos!$L$9:$L$4091, $Y$3, Gastos!$M$9:$M$4091, $Y$4, Gastos!$D$9:$D$4091, Q9)</f>
        <v>0</v>
      </c>
      <c r="Z9" s="2">
        <f>SUMIFS(Gastos!$J$9:$J$4091, Gastos!$L$9:$L$4091, $Z$3, Gastos!$M$9:$M$4091, $Z$4, Gastos!$D$9:$D$4091, Q9)</f>
        <v>0</v>
      </c>
      <c r="AA9" s="2">
        <f>SUMIFS(Gastos!$J$9:$J$4091, Gastos!$L$9:$L$4091, $AA$3, Gastos!$M$9:$M$4091, $AA$4, Gastos!$D$9:$D$4091, Q9)</f>
        <v>0</v>
      </c>
      <c r="AB9" s="2">
        <f>SUMIFS(Gastos!$J$9:$J$4091, Gastos!$L$9:$L$4091, $AB$3, Gastos!$M$9:$M$4091, $AB$4, Gastos!$D$9:$D$4091, Q9)</f>
        <v>0</v>
      </c>
      <c r="AC9" s="2">
        <f>SUMIFS(Gastos!$J$9:$J$4091, Gastos!$L$9:$L$4091, $AC$3, Gastos!$M$9:$M$4091, $AC$4, Gastos!$D$9:$D$4091, Q9)</f>
        <v>0</v>
      </c>
      <c r="AD9" s="2">
        <f t="shared" si="7"/>
        <v>0</v>
      </c>
      <c r="AF9" s="5" t="e">
        <f>#REF!</f>
        <v>#REF!</v>
      </c>
      <c r="AG9" s="1" t="e">
        <f>#REF!</f>
        <v>#REF!</v>
      </c>
      <c r="AH9" s="1" t="e">
        <f>#REF!</f>
        <v>#REF!</v>
      </c>
      <c r="AI9" s="1" t="e">
        <f>#REF!</f>
        <v>#REF!</v>
      </c>
      <c r="AJ9" s="6"/>
      <c r="AK9" s="257" t="s">
        <v>123</v>
      </c>
      <c r="AL9" s="257"/>
      <c r="AM9" s="2" t="e">
        <f>AM6-AM7</f>
        <v>#REF!</v>
      </c>
      <c r="AN9" s="2" t="e">
        <f t="shared" ref="AN9:AX9" si="8">AN6-AN7</f>
        <v>#REF!</v>
      </c>
      <c r="AO9" s="2" t="e">
        <f t="shared" si="8"/>
        <v>#REF!</v>
      </c>
      <c r="AP9" s="2" t="e">
        <f t="shared" si="8"/>
        <v>#REF!</v>
      </c>
      <c r="AQ9" s="2" t="e">
        <f t="shared" si="8"/>
        <v>#REF!</v>
      </c>
      <c r="AR9" s="2" t="e">
        <f t="shared" si="8"/>
        <v>#REF!</v>
      </c>
      <c r="AS9" s="2" t="e">
        <f t="shared" si="8"/>
        <v>#REF!</v>
      </c>
      <c r="AT9" s="2" t="e">
        <f t="shared" si="8"/>
        <v>#REF!</v>
      </c>
      <c r="AU9" s="2" t="e">
        <f t="shared" si="8"/>
        <v>#REF!</v>
      </c>
      <c r="AV9" s="2" t="e">
        <f t="shared" si="8"/>
        <v>#REF!</v>
      </c>
      <c r="AW9" s="2" t="e">
        <f t="shared" si="8"/>
        <v>#REF!</v>
      </c>
      <c r="AX9" s="2" t="e">
        <f t="shared" si="8"/>
        <v>#REF!</v>
      </c>
    </row>
    <row r="10" spans="2:50">
      <c r="B10" s="2" t="e">
        <f>#REF!</f>
        <v>#REF!</v>
      </c>
      <c r="C10" s="2">
        <f>SUMIFS(Ingresos!$J$9:$J$3900, Ingresos!$L$9:$L$3900, $C$3, Ingresos!$M$9:$M$3900, $C$4, Ingresos!$D$9:$D$3900, B10)</f>
        <v>0</v>
      </c>
      <c r="D10" s="2">
        <f>SUMIFS(Ingresos!$J$9:$J$3900, Ingresos!$L$9:$L$3900, $D$3, Ingresos!$M$9:$M$3900, $D$4, Ingresos!$D$9:$D$3900, B10)</f>
        <v>0</v>
      </c>
      <c r="E10" s="2">
        <f>SUMIFS(Ingresos!$J$9:$J$3900, Ingresos!$L$9:$L$3900, $E$3, Ingresos!$M$9:$M$3900, $E$4, Ingresos!$D$9:$D$3900, B10)</f>
        <v>0</v>
      </c>
      <c r="F10" s="2">
        <f>SUMIFS(Ingresos!$J$9:$J$3900, Ingresos!$L$9:$L$3900, $F$3, Ingresos!$M$9:$M$3900, $F$4, Ingresos!$D$9:$D$3900, B10)</f>
        <v>0</v>
      </c>
      <c r="G10" s="2">
        <f>SUMIFS(Ingresos!$J$9:$J$3900, Ingresos!$L$9:$L$3900, $G$3, Ingresos!$M$9:$M$3900, $G$4, Ingresos!$D$9:$D$3900, B10)</f>
        <v>0</v>
      </c>
      <c r="H10" s="2">
        <f>SUMIFS(Ingresos!$J$9:$J$3900, Ingresos!$L$9:$L$3900, $H$3, Ingresos!$M$9:$M$3900, $H$4, Ingresos!$D$9:$D$3900, B10)</f>
        <v>0</v>
      </c>
      <c r="I10" s="2">
        <f>SUMIFS(Ingresos!$J$9:$J$3900, Ingresos!$L$9:$L$3900, $I$3, Ingresos!$M$9:$M$3900, $I$4, Ingresos!$D$9:$D$3900, B10)</f>
        <v>0</v>
      </c>
      <c r="J10" s="2">
        <f>SUMIFS(Ingresos!$J$9:$J$3900, Ingresos!$L$9:$L$3900, $J$3, Ingresos!$M$9:$M$3900, $J$4, Ingresos!$D$9:$D$3900, B10)</f>
        <v>0</v>
      </c>
      <c r="K10" s="2">
        <f>SUMIFS(Ingresos!$J$9:$J$3900, Ingresos!$L$9:$L$3900, $K$3, Ingresos!$M$9:$M$3900, $K$4, Ingresos!$D$9:$D$3900, B10)</f>
        <v>0</v>
      </c>
      <c r="L10" s="2">
        <f>SUMIFS(Ingresos!$J$9:$J$3900, Ingresos!$L$9:$L$3900, $L$3, Ingresos!$M$9:$M$3900, $L$4, Ingresos!$D$9:$D$3900, B10)</f>
        <v>0</v>
      </c>
      <c r="M10" s="2">
        <f>SUMIFS(Ingresos!$J$9:$J$3900, Ingresos!$L$9:$L$3900, $M$3, Ingresos!$M$9:$M$3900, $M$4, Ingresos!$D$9:$D$3900, B10)</f>
        <v>0</v>
      </c>
      <c r="N10" s="2">
        <f>SUMIFS(Ingresos!$J$9:$J$3900, Ingresos!$L$9:$L$3900, $N$3, Ingresos!$M$9:$M$3900, $N$4, Ingresos!$D$9:$D$3900, B10)</f>
        <v>0</v>
      </c>
      <c r="O10" s="2">
        <f t="shared" si="6"/>
        <v>0</v>
      </c>
      <c r="Q10" s="2" t="e">
        <f>#REF!</f>
        <v>#REF!</v>
      </c>
      <c r="R10" s="2">
        <f>SUMIFS(Gastos!$J$9:$J$4091, Gastos!$L$9:$L$4091, $R$3, Gastos!$M$9:$M$4091, $R$4, Gastos!$D$9:$D$4091, Q10)</f>
        <v>0</v>
      </c>
      <c r="S10" s="2">
        <f>SUMIFS(Gastos!$J$9:$J$4091, Gastos!$L$9:$L$4091, $S$3, Gastos!$M$9:$M$4091, $S$4, Gastos!$D$9:$D$4091, Q10)</f>
        <v>0</v>
      </c>
      <c r="T10" s="2">
        <f>SUMIFS(Gastos!$J$9:$J$4091, Gastos!$L$9:$L$4091, $T$3, Gastos!$M$9:$M$4091, $T$4, Gastos!$D$9:$D$4091, Q10)</f>
        <v>0</v>
      </c>
      <c r="U10" s="2">
        <f>SUMIFS(Gastos!$J$9:$J$4091, Gastos!$L$9:$L$4091, $U$3, Gastos!$M$9:$M$4091, $U$4, Gastos!$D$9:$D$4091, Q10)</f>
        <v>0</v>
      </c>
      <c r="V10" s="2">
        <f>SUMIFS(Gastos!$J$9:$J$4091, Gastos!$L$9:$L$4091, $V$3, Gastos!$M$9:$M$4091, $V$4, Gastos!$D$9:$D$4091, Q10)</f>
        <v>0</v>
      </c>
      <c r="W10" s="2">
        <f>SUMIFS(Gastos!$J$9:$J$4091, Gastos!$L$9:$L$4091, $W$3, Gastos!$M$9:$M$4091, $W$4, Gastos!$D$9:$D$4091, Q10)</f>
        <v>0</v>
      </c>
      <c r="X10" s="2">
        <f>SUMIFS(Gastos!$J$9:$J$4091, Gastos!$L$9:$L$4091, $X$3, Gastos!$M$9:$M$4091, $X$4, Gastos!$D$9:$D$4091, Q10)</f>
        <v>0</v>
      </c>
      <c r="Y10" s="2">
        <f>SUMIFS(Gastos!$J$9:$J$4091, Gastos!$L$9:$L$4091, $Y$3, Gastos!$M$9:$M$4091, $Y$4, Gastos!$D$9:$D$4091, Q10)</f>
        <v>0</v>
      </c>
      <c r="Z10" s="2">
        <f>SUMIFS(Gastos!$J$9:$J$4091, Gastos!$L$9:$L$4091, $Z$3, Gastos!$M$9:$M$4091, $Z$4, Gastos!$D$9:$D$4091, Q10)</f>
        <v>0</v>
      </c>
      <c r="AA10" s="2">
        <f>SUMIFS(Gastos!$J$9:$J$4091, Gastos!$L$9:$L$4091, $AA$3, Gastos!$M$9:$M$4091, $AA$4, Gastos!$D$9:$D$4091, Q10)</f>
        <v>0</v>
      </c>
      <c r="AB10" s="2">
        <f>SUMIFS(Gastos!$J$9:$J$4091, Gastos!$L$9:$L$4091, $AB$3, Gastos!$M$9:$M$4091, $AB$4, Gastos!$D$9:$D$4091, Q10)</f>
        <v>0</v>
      </c>
      <c r="AC10" s="2">
        <f>SUMIFS(Gastos!$J$9:$J$4091, Gastos!$L$9:$L$4091, $AC$3, Gastos!$M$9:$M$4091, $AC$4, Gastos!$D$9:$D$4091, Q10)</f>
        <v>0</v>
      </c>
      <c r="AD10" s="2">
        <f t="shared" si="7"/>
        <v>0</v>
      </c>
      <c r="AF10" s="5" t="e">
        <f>#REF!</f>
        <v>#REF!</v>
      </c>
      <c r="AG10" s="1" t="e">
        <f>#REF!</f>
        <v>#REF!</v>
      </c>
      <c r="AH10" s="1" t="e">
        <f>#REF!</f>
        <v>#REF!</v>
      </c>
      <c r="AI10" s="1" t="e">
        <f>#REF!</f>
        <v>#REF!</v>
      </c>
      <c r="AJ10" s="6"/>
    </row>
    <row r="11" spans="2:50">
      <c r="B11" s="2" t="e">
        <f>#REF!</f>
        <v>#REF!</v>
      </c>
      <c r="C11" s="2">
        <f>SUMIFS(Ingresos!$J$9:$J$3900, Ingresos!$L$9:$L$3900, $C$3, Ingresos!$M$9:$M$3900, $C$4, Ingresos!$D$9:$D$3900, B11)</f>
        <v>0</v>
      </c>
      <c r="D11" s="2">
        <f>SUMIFS(Ingresos!$J$9:$J$3900, Ingresos!$L$9:$L$3900, $D$3, Ingresos!$M$9:$M$3900, $D$4, Ingresos!$D$9:$D$3900, B11)</f>
        <v>0</v>
      </c>
      <c r="E11" s="2">
        <f>SUMIFS(Ingresos!$J$9:$J$3900, Ingresos!$L$9:$L$3900, $E$3, Ingresos!$M$9:$M$3900, $E$4, Ingresos!$D$9:$D$3900, B11)</f>
        <v>0</v>
      </c>
      <c r="F11" s="2">
        <f>SUMIFS(Ingresos!$J$9:$J$3900, Ingresos!$L$9:$L$3900, $F$3, Ingresos!$M$9:$M$3900, $F$4, Ingresos!$D$9:$D$3900, B11)</f>
        <v>0</v>
      </c>
      <c r="G11" s="2">
        <f>SUMIFS(Ingresos!$J$9:$J$3900, Ingresos!$L$9:$L$3900, $G$3, Ingresos!$M$9:$M$3900, $G$4, Ingresos!$D$9:$D$3900, B11)</f>
        <v>0</v>
      </c>
      <c r="H11" s="2">
        <f>SUMIFS(Ingresos!$J$9:$J$3900, Ingresos!$L$9:$L$3900, $H$3, Ingresos!$M$9:$M$3900, $H$4, Ingresos!$D$9:$D$3900, B11)</f>
        <v>0</v>
      </c>
      <c r="I11" s="2">
        <f>SUMIFS(Ingresos!$J$9:$J$3900, Ingresos!$L$9:$L$3900, $I$3, Ingresos!$M$9:$M$3900, $I$4, Ingresos!$D$9:$D$3900, B11)</f>
        <v>0</v>
      </c>
      <c r="J11" s="2">
        <f>SUMIFS(Ingresos!$J$9:$J$3900, Ingresos!$L$9:$L$3900, $J$3, Ingresos!$M$9:$M$3900, $J$4, Ingresos!$D$9:$D$3900, B11)</f>
        <v>0</v>
      </c>
      <c r="K11" s="2">
        <f>SUMIFS(Ingresos!$J$9:$J$3900, Ingresos!$L$9:$L$3900, $K$3, Ingresos!$M$9:$M$3900, $K$4, Ingresos!$D$9:$D$3900, B11)</f>
        <v>0</v>
      </c>
      <c r="L11" s="2">
        <f>SUMIFS(Ingresos!$J$9:$J$3900, Ingresos!$L$9:$L$3900, $L$3, Ingresos!$M$9:$M$3900, $L$4, Ingresos!$D$9:$D$3900, B11)</f>
        <v>0</v>
      </c>
      <c r="M11" s="2">
        <f>SUMIFS(Ingresos!$J$9:$J$3900, Ingresos!$L$9:$L$3900, $M$3, Ingresos!$M$9:$M$3900, $M$4, Ingresos!$D$9:$D$3900, B11)</f>
        <v>0</v>
      </c>
      <c r="N11" s="2">
        <f>SUMIFS(Ingresos!$J$9:$J$3900, Ingresos!$L$9:$L$3900, $N$3, Ingresos!$M$9:$M$3900, $N$4, Ingresos!$D$9:$D$3900, B11)</f>
        <v>0</v>
      </c>
      <c r="O11" s="2">
        <f t="shared" si="6"/>
        <v>0</v>
      </c>
      <c r="Q11" s="2" t="e">
        <f>#REF!</f>
        <v>#REF!</v>
      </c>
      <c r="R11" s="2">
        <f>SUMIFS(Gastos!$J$9:$J$4091, Gastos!$L$9:$L$4091, $R$3, Gastos!$M$9:$M$4091, $R$4, Gastos!$D$9:$D$4091, Q11)</f>
        <v>0</v>
      </c>
      <c r="S11" s="2">
        <f>SUMIFS(Gastos!$J$9:$J$4091, Gastos!$L$9:$L$4091, $S$3, Gastos!$M$9:$M$4091, $S$4, Gastos!$D$9:$D$4091, Q11)</f>
        <v>0</v>
      </c>
      <c r="T11" s="2">
        <f>SUMIFS(Gastos!$J$9:$J$4091, Gastos!$L$9:$L$4091, $T$3, Gastos!$M$9:$M$4091, $T$4, Gastos!$D$9:$D$4091, Q11)</f>
        <v>0</v>
      </c>
      <c r="U11" s="2">
        <f>SUMIFS(Gastos!$J$9:$J$4091, Gastos!$L$9:$L$4091, $U$3, Gastos!$M$9:$M$4091, $U$4, Gastos!$D$9:$D$4091, Q11)</f>
        <v>0</v>
      </c>
      <c r="V11" s="2">
        <f>SUMIFS(Gastos!$J$9:$J$4091, Gastos!$L$9:$L$4091, $V$3, Gastos!$M$9:$M$4091, $V$4, Gastos!$D$9:$D$4091, Q11)</f>
        <v>0</v>
      </c>
      <c r="W11" s="2">
        <f>SUMIFS(Gastos!$J$9:$J$4091, Gastos!$L$9:$L$4091, $W$3, Gastos!$M$9:$M$4091, $W$4, Gastos!$D$9:$D$4091, Q11)</f>
        <v>0</v>
      </c>
      <c r="X11" s="2">
        <f>SUMIFS(Gastos!$J$9:$J$4091, Gastos!$L$9:$L$4091, $X$3, Gastos!$M$9:$M$4091, $X$4, Gastos!$D$9:$D$4091, Q11)</f>
        <v>0</v>
      </c>
      <c r="Y11" s="2">
        <f>SUMIFS(Gastos!$J$9:$J$4091, Gastos!$L$9:$L$4091, $Y$3, Gastos!$M$9:$M$4091, $Y$4, Gastos!$D$9:$D$4091, Q11)</f>
        <v>0</v>
      </c>
      <c r="Z11" s="2">
        <f>SUMIFS(Gastos!$J$9:$J$4091, Gastos!$L$9:$L$4091, $Z$3, Gastos!$M$9:$M$4091, $Z$4, Gastos!$D$9:$D$4091, Q11)</f>
        <v>0</v>
      </c>
      <c r="AA11" s="2">
        <f>SUMIFS(Gastos!$J$9:$J$4091, Gastos!$L$9:$L$4091, $AA$3, Gastos!$M$9:$M$4091, $AA$4, Gastos!$D$9:$D$4091, Q11)</f>
        <v>0</v>
      </c>
      <c r="AB11" s="2">
        <f>SUMIFS(Gastos!$J$9:$J$4091, Gastos!$L$9:$L$4091, $AB$3, Gastos!$M$9:$M$4091, $AB$4, Gastos!$D$9:$D$4091, Q11)</f>
        <v>0</v>
      </c>
      <c r="AC11" s="2">
        <f>SUMIFS(Gastos!$J$9:$J$4091, Gastos!$L$9:$L$4091, $AC$3, Gastos!$M$9:$M$4091, $AC$4, Gastos!$D$9:$D$4091, Q11)</f>
        <v>0</v>
      </c>
      <c r="AD11" s="2">
        <f t="shared" si="7"/>
        <v>0</v>
      </c>
      <c r="AF11" s="5" t="e">
        <f>#REF!</f>
        <v>#REF!</v>
      </c>
      <c r="AG11" s="1" t="e">
        <f>#REF!</f>
        <v>#REF!</v>
      </c>
      <c r="AH11" s="1" t="e">
        <f>#REF!</f>
        <v>#REF!</v>
      </c>
      <c r="AI11" s="1" t="e">
        <f>#REF!</f>
        <v>#REF!</v>
      </c>
      <c r="AJ11" s="6"/>
      <c r="AK11" s="257" t="s">
        <v>124</v>
      </c>
      <c r="AL11" s="257"/>
      <c r="AM11" s="2" t="e">
        <f>AM9</f>
        <v>#REF!</v>
      </c>
      <c r="AN11" s="2" t="e">
        <f>AM11+AN9</f>
        <v>#REF!</v>
      </c>
      <c r="AO11" s="2" t="e">
        <f t="shared" ref="AO11:AX11" si="9">AN11+AO9</f>
        <v>#REF!</v>
      </c>
      <c r="AP11" s="2" t="e">
        <f t="shared" si="9"/>
        <v>#REF!</v>
      </c>
      <c r="AQ11" s="2" t="e">
        <f t="shared" si="9"/>
        <v>#REF!</v>
      </c>
      <c r="AR11" s="2" t="e">
        <f t="shared" si="9"/>
        <v>#REF!</v>
      </c>
      <c r="AS11" s="2" t="e">
        <f t="shared" si="9"/>
        <v>#REF!</v>
      </c>
      <c r="AT11" s="2" t="e">
        <f t="shared" si="9"/>
        <v>#REF!</v>
      </c>
      <c r="AU11" s="2" t="e">
        <f t="shared" si="9"/>
        <v>#REF!</v>
      </c>
      <c r="AV11" s="2" t="e">
        <f t="shared" si="9"/>
        <v>#REF!</v>
      </c>
      <c r="AW11" s="2" t="e">
        <f t="shared" si="9"/>
        <v>#REF!</v>
      </c>
      <c r="AX11" s="2" t="e">
        <f t="shared" si="9"/>
        <v>#REF!</v>
      </c>
    </row>
    <row r="12" spans="2:50">
      <c r="B12" s="2" t="e">
        <f>#REF!</f>
        <v>#REF!</v>
      </c>
      <c r="C12" s="2">
        <f>SUMIFS(Ingresos!$J$9:$J$3900, Ingresos!$L$9:$L$3900, $C$3, Ingresos!$M$9:$M$3900, $C$4, Ingresos!$D$9:$D$3900, B12)</f>
        <v>0</v>
      </c>
      <c r="D12" s="2">
        <f>SUMIFS(Ingresos!$J$9:$J$3900, Ingresos!$L$9:$L$3900, $D$3, Ingresos!$M$9:$M$3900, $D$4, Ingresos!$D$9:$D$3900, B12)</f>
        <v>0</v>
      </c>
      <c r="E12" s="2">
        <f>SUMIFS(Ingresos!$J$9:$J$3900, Ingresos!$L$9:$L$3900, $E$3, Ingresos!$M$9:$M$3900, $E$4, Ingresos!$D$9:$D$3900, B12)</f>
        <v>0</v>
      </c>
      <c r="F12" s="2">
        <f>SUMIFS(Ingresos!$J$9:$J$3900, Ingresos!$L$9:$L$3900, $F$3, Ingresos!$M$9:$M$3900, $F$4, Ingresos!$D$9:$D$3900, B12)</f>
        <v>0</v>
      </c>
      <c r="G12" s="2">
        <f>SUMIFS(Ingresos!$J$9:$J$3900, Ingresos!$L$9:$L$3900, $G$3, Ingresos!$M$9:$M$3900, $G$4, Ingresos!$D$9:$D$3900, B12)</f>
        <v>0</v>
      </c>
      <c r="H12" s="2">
        <f>SUMIFS(Ingresos!$J$9:$J$3900, Ingresos!$L$9:$L$3900, $H$3, Ingresos!$M$9:$M$3900, $H$4, Ingresos!$D$9:$D$3900, B12)</f>
        <v>0</v>
      </c>
      <c r="I12" s="2">
        <f>SUMIFS(Ingresos!$J$9:$J$3900, Ingresos!$L$9:$L$3900, $I$3, Ingresos!$M$9:$M$3900, $I$4, Ingresos!$D$9:$D$3900, B12)</f>
        <v>0</v>
      </c>
      <c r="J12" s="2">
        <f>SUMIFS(Ingresos!$J$9:$J$3900, Ingresos!$L$9:$L$3900, $J$3, Ingresos!$M$9:$M$3900, $J$4, Ingresos!$D$9:$D$3900, B12)</f>
        <v>0</v>
      </c>
      <c r="K12" s="2">
        <f>SUMIFS(Ingresos!$J$9:$J$3900, Ingresos!$L$9:$L$3900, $K$3, Ingresos!$M$9:$M$3900, $K$4, Ingresos!$D$9:$D$3900, B12)</f>
        <v>0</v>
      </c>
      <c r="L12" s="2">
        <f>SUMIFS(Ingresos!$J$9:$J$3900, Ingresos!$L$9:$L$3900, $L$3, Ingresos!$M$9:$M$3900, $L$4, Ingresos!$D$9:$D$3900, B12)</f>
        <v>0</v>
      </c>
      <c r="M12" s="2">
        <f>SUMIFS(Ingresos!$J$9:$J$3900, Ingresos!$L$9:$L$3900, $M$3, Ingresos!$M$9:$M$3900, $M$4, Ingresos!$D$9:$D$3900, B12)</f>
        <v>0</v>
      </c>
      <c r="N12" s="2">
        <f>SUMIFS(Ingresos!$J$9:$J$3900, Ingresos!$L$9:$L$3900, $N$3, Ingresos!$M$9:$M$3900, $N$4, Ingresos!$D$9:$D$3900, B12)</f>
        <v>0</v>
      </c>
      <c r="O12" s="2">
        <f t="shared" si="6"/>
        <v>0</v>
      </c>
      <c r="Q12" s="2" t="e">
        <f>#REF!</f>
        <v>#REF!</v>
      </c>
      <c r="R12" s="2">
        <f>SUMIFS(Gastos!$J$9:$J$4091, Gastos!$L$9:$L$4091, $R$3, Gastos!$M$9:$M$4091, $R$4, Gastos!$D$9:$D$4091, Q12)</f>
        <v>0</v>
      </c>
      <c r="S12" s="2">
        <f>SUMIFS(Gastos!$J$9:$J$4091, Gastos!$L$9:$L$4091, $S$3, Gastos!$M$9:$M$4091, $S$4, Gastos!$D$9:$D$4091, Q12)</f>
        <v>0</v>
      </c>
      <c r="T12" s="2">
        <f>SUMIFS(Gastos!$J$9:$J$4091, Gastos!$L$9:$L$4091, $T$3, Gastos!$M$9:$M$4091, $T$4, Gastos!$D$9:$D$4091, Q12)</f>
        <v>0</v>
      </c>
      <c r="U12" s="2">
        <f>SUMIFS(Gastos!$J$9:$J$4091, Gastos!$L$9:$L$4091, $U$3, Gastos!$M$9:$M$4091, $U$4, Gastos!$D$9:$D$4091, Q12)</f>
        <v>0</v>
      </c>
      <c r="V12" s="2">
        <f>SUMIFS(Gastos!$J$9:$J$4091, Gastos!$L$9:$L$4091, $V$3, Gastos!$M$9:$M$4091, $V$4, Gastos!$D$9:$D$4091, Q12)</f>
        <v>0</v>
      </c>
      <c r="W12" s="2">
        <f>SUMIFS(Gastos!$J$9:$J$4091, Gastos!$L$9:$L$4091, $W$3, Gastos!$M$9:$M$4091, $W$4, Gastos!$D$9:$D$4091, Q12)</f>
        <v>0</v>
      </c>
      <c r="X12" s="2">
        <f>SUMIFS(Gastos!$J$9:$J$4091, Gastos!$L$9:$L$4091, $X$3, Gastos!$M$9:$M$4091, $X$4, Gastos!$D$9:$D$4091, Q12)</f>
        <v>0</v>
      </c>
      <c r="Y12" s="2">
        <f>SUMIFS(Gastos!$J$9:$J$4091, Gastos!$L$9:$L$4091, $Y$3, Gastos!$M$9:$M$4091, $Y$4, Gastos!$D$9:$D$4091, Q12)</f>
        <v>0</v>
      </c>
      <c r="Z12" s="2">
        <f>SUMIFS(Gastos!$J$9:$J$4091, Gastos!$L$9:$L$4091, $Z$3, Gastos!$M$9:$M$4091, $Z$4, Gastos!$D$9:$D$4091, Q12)</f>
        <v>0</v>
      </c>
      <c r="AA12" s="2">
        <f>SUMIFS(Gastos!$J$9:$J$4091, Gastos!$L$9:$L$4091, $AA$3, Gastos!$M$9:$M$4091, $AA$4, Gastos!$D$9:$D$4091, Q12)</f>
        <v>0</v>
      </c>
      <c r="AB12" s="2">
        <f>SUMIFS(Gastos!$J$9:$J$4091, Gastos!$L$9:$L$4091, $AB$3, Gastos!$M$9:$M$4091, $AB$4, Gastos!$D$9:$D$4091, Q12)</f>
        <v>0</v>
      </c>
      <c r="AC12" s="2">
        <f>SUMIFS(Gastos!$J$9:$J$4091, Gastos!$L$9:$L$4091, $AC$3, Gastos!$M$9:$M$4091, $AC$4, Gastos!$D$9:$D$4091, Q12)</f>
        <v>0</v>
      </c>
      <c r="AD12" s="2">
        <f t="shared" si="7"/>
        <v>0</v>
      </c>
      <c r="AF12" s="5" t="e">
        <f>#REF!</f>
        <v>#REF!</v>
      </c>
      <c r="AG12" s="1" t="e">
        <f>#REF!</f>
        <v>#REF!</v>
      </c>
      <c r="AH12" s="1" t="e">
        <f>#REF!</f>
        <v>#REF!</v>
      </c>
      <c r="AI12" s="1" t="e">
        <f>#REF!</f>
        <v>#REF!</v>
      </c>
      <c r="AJ12" s="6"/>
    </row>
    <row r="13" spans="2:50">
      <c r="B13" s="2" t="e">
        <f>#REF!</f>
        <v>#REF!</v>
      </c>
      <c r="C13" s="2">
        <f>SUMIFS(Ingresos!$J$9:$J$3900, Ingresos!$L$9:$L$3900, $C$3, Ingresos!$M$9:$M$3900, $C$4, Ingresos!$D$9:$D$3900, B13)</f>
        <v>0</v>
      </c>
      <c r="D13" s="2">
        <f>SUMIFS(Ingresos!$J$9:$J$3900, Ingresos!$L$9:$L$3900, $D$3, Ingresos!$M$9:$M$3900, $D$4, Ingresos!$D$9:$D$3900, B13)</f>
        <v>0</v>
      </c>
      <c r="E13" s="2">
        <f>SUMIFS(Ingresos!$J$9:$J$3900, Ingresos!$L$9:$L$3900, $E$3, Ingresos!$M$9:$M$3900, $E$4, Ingresos!$D$9:$D$3900, B13)</f>
        <v>0</v>
      </c>
      <c r="F13" s="2">
        <f>SUMIFS(Ingresos!$J$9:$J$3900, Ingresos!$L$9:$L$3900, $F$3, Ingresos!$M$9:$M$3900, $F$4, Ingresos!$D$9:$D$3900, B13)</f>
        <v>0</v>
      </c>
      <c r="G13" s="2">
        <f>SUMIFS(Ingresos!$J$9:$J$3900, Ingresos!$L$9:$L$3900, $G$3, Ingresos!$M$9:$M$3900, $G$4, Ingresos!$D$9:$D$3900, B13)</f>
        <v>0</v>
      </c>
      <c r="H13" s="2">
        <f>SUMIFS(Ingresos!$J$9:$J$3900, Ingresos!$L$9:$L$3900, $H$3, Ingresos!$M$9:$M$3900, $H$4, Ingresos!$D$9:$D$3900, B13)</f>
        <v>0</v>
      </c>
      <c r="I13" s="2">
        <f>SUMIFS(Ingresos!$J$9:$J$3900, Ingresos!$L$9:$L$3900, $I$3, Ingresos!$M$9:$M$3900, $I$4, Ingresos!$D$9:$D$3900, B13)</f>
        <v>0</v>
      </c>
      <c r="J13" s="2">
        <f>SUMIFS(Ingresos!$J$9:$J$3900, Ingresos!$L$9:$L$3900, $J$3, Ingresos!$M$9:$M$3900, $J$4, Ingresos!$D$9:$D$3900, B13)</f>
        <v>0</v>
      </c>
      <c r="K13" s="2">
        <f>SUMIFS(Ingresos!$J$9:$J$3900, Ingresos!$L$9:$L$3900, $K$3, Ingresos!$M$9:$M$3900, $K$4, Ingresos!$D$9:$D$3900, B13)</f>
        <v>0</v>
      </c>
      <c r="L13" s="2">
        <f>SUMIFS(Ingresos!$J$9:$J$3900, Ingresos!$L$9:$L$3900, $L$3, Ingresos!$M$9:$M$3900, $L$4, Ingresos!$D$9:$D$3900, B13)</f>
        <v>0</v>
      </c>
      <c r="M13" s="2">
        <f>SUMIFS(Ingresos!$J$9:$J$3900, Ingresos!$L$9:$L$3900, $M$3, Ingresos!$M$9:$M$3900, $M$4, Ingresos!$D$9:$D$3900, B13)</f>
        <v>0</v>
      </c>
      <c r="N13" s="2">
        <f>SUMIFS(Ingresos!$J$9:$J$3900, Ingresos!$L$9:$L$3900, $N$3, Ingresos!$M$9:$M$3900, $N$4, Ingresos!$D$9:$D$3900, B13)</f>
        <v>0</v>
      </c>
      <c r="O13" s="2">
        <f t="shared" si="6"/>
        <v>0</v>
      </c>
      <c r="Q13" s="2" t="e">
        <f>#REF!</f>
        <v>#REF!</v>
      </c>
      <c r="R13" s="2">
        <f>SUMIFS(Gastos!$J$9:$J$4091, Gastos!$L$9:$L$4091, $R$3, Gastos!$M$9:$M$4091, $R$4, Gastos!$D$9:$D$4091, Q13)</f>
        <v>0</v>
      </c>
      <c r="S13" s="2">
        <f>SUMIFS(Gastos!$J$9:$J$4091, Gastos!$L$9:$L$4091, $S$3, Gastos!$M$9:$M$4091, $S$4, Gastos!$D$9:$D$4091, Q13)</f>
        <v>0</v>
      </c>
      <c r="T13" s="2">
        <f>SUMIFS(Gastos!$J$9:$J$4091, Gastos!$L$9:$L$4091, $T$3, Gastos!$M$9:$M$4091, $T$4, Gastos!$D$9:$D$4091, Q13)</f>
        <v>0</v>
      </c>
      <c r="U13" s="2">
        <f>SUMIFS(Gastos!$J$9:$J$4091, Gastos!$L$9:$L$4091, $U$3, Gastos!$M$9:$M$4091, $U$4, Gastos!$D$9:$D$4091, Q13)</f>
        <v>0</v>
      </c>
      <c r="V13" s="2">
        <f>SUMIFS(Gastos!$J$9:$J$4091, Gastos!$L$9:$L$4091, $V$3, Gastos!$M$9:$M$4091, $V$4, Gastos!$D$9:$D$4091, Q13)</f>
        <v>0</v>
      </c>
      <c r="W13" s="2">
        <f>SUMIFS(Gastos!$J$9:$J$4091, Gastos!$L$9:$L$4091, $W$3, Gastos!$M$9:$M$4091, $W$4, Gastos!$D$9:$D$4091, Q13)</f>
        <v>0</v>
      </c>
      <c r="X13" s="2">
        <f>SUMIFS(Gastos!$J$9:$J$4091, Gastos!$L$9:$L$4091, $X$3, Gastos!$M$9:$M$4091, $X$4, Gastos!$D$9:$D$4091, Q13)</f>
        <v>0</v>
      </c>
      <c r="Y13" s="2">
        <f>SUMIFS(Gastos!$J$9:$J$4091, Gastos!$L$9:$L$4091, $Y$3, Gastos!$M$9:$M$4091, $Y$4, Gastos!$D$9:$D$4091, Q13)</f>
        <v>0</v>
      </c>
      <c r="Z13" s="2">
        <f>SUMIFS(Gastos!$J$9:$J$4091, Gastos!$L$9:$L$4091, $Z$3, Gastos!$M$9:$M$4091, $Z$4, Gastos!$D$9:$D$4091, Q13)</f>
        <v>0</v>
      </c>
      <c r="AA13" s="2">
        <f>SUMIFS(Gastos!$J$9:$J$4091, Gastos!$L$9:$L$4091, $AA$3, Gastos!$M$9:$M$4091, $AA$4, Gastos!$D$9:$D$4091, Q13)</f>
        <v>0</v>
      </c>
      <c r="AB13" s="2">
        <f>SUMIFS(Gastos!$J$9:$J$4091, Gastos!$L$9:$L$4091, $AB$3, Gastos!$M$9:$M$4091, $AB$4, Gastos!$D$9:$D$4091, Q13)</f>
        <v>0</v>
      </c>
      <c r="AC13" s="2">
        <f>SUMIFS(Gastos!$J$9:$J$4091, Gastos!$L$9:$L$4091, $AC$3, Gastos!$M$9:$M$4091, $AC$4, Gastos!$D$9:$D$4091, Q13)</f>
        <v>0</v>
      </c>
      <c r="AD13" s="2">
        <f t="shared" si="7"/>
        <v>0</v>
      </c>
      <c r="AF13" s="5" t="e">
        <f>#REF!</f>
        <v>#REF!</v>
      </c>
      <c r="AG13" s="1" t="e">
        <f>#REF!</f>
        <v>#REF!</v>
      </c>
      <c r="AH13" s="1" t="e">
        <f>#REF!</f>
        <v>#REF!</v>
      </c>
      <c r="AI13" s="1" t="e">
        <f>#REF!</f>
        <v>#REF!</v>
      </c>
      <c r="AJ13" s="6"/>
    </row>
    <row r="14" spans="2:50">
      <c r="B14" s="2" t="e">
        <f>#REF!</f>
        <v>#REF!</v>
      </c>
      <c r="C14" s="2">
        <f>SUMIFS(Ingresos!$J$9:$J$3900, Ingresos!$L$9:$L$3900, $C$3, Ingresos!$M$9:$M$3900, $C$4, Ingresos!$D$9:$D$3900, B14)</f>
        <v>0</v>
      </c>
      <c r="D14" s="2">
        <f>SUMIFS(Ingresos!$J$9:$J$3900, Ingresos!$L$9:$L$3900, $D$3, Ingresos!$M$9:$M$3900, $D$4, Ingresos!$D$9:$D$3900, B14)</f>
        <v>0</v>
      </c>
      <c r="E14" s="2">
        <f>SUMIFS(Ingresos!$J$9:$J$3900, Ingresos!$L$9:$L$3900, $E$3, Ingresos!$M$9:$M$3900, $E$4, Ingresos!$D$9:$D$3900, B14)</f>
        <v>0</v>
      </c>
      <c r="F14" s="2">
        <f>SUMIFS(Ingresos!$J$9:$J$3900, Ingresos!$L$9:$L$3900, $F$3, Ingresos!$M$9:$M$3900, $F$4, Ingresos!$D$9:$D$3900, B14)</f>
        <v>0</v>
      </c>
      <c r="G14" s="2">
        <f>SUMIFS(Ingresos!$J$9:$J$3900, Ingresos!$L$9:$L$3900, $G$3, Ingresos!$M$9:$M$3900, $G$4, Ingresos!$D$9:$D$3900, B14)</f>
        <v>0</v>
      </c>
      <c r="H14" s="2">
        <f>SUMIFS(Ingresos!$J$9:$J$3900, Ingresos!$L$9:$L$3900, $H$3, Ingresos!$M$9:$M$3900, $H$4, Ingresos!$D$9:$D$3900, B14)</f>
        <v>0</v>
      </c>
      <c r="I14" s="2">
        <f>SUMIFS(Ingresos!$J$9:$J$3900, Ingresos!$L$9:$L$3900, $I$3, Ingresos!$M$9:$M$3900, $I$4, Ingresos!$D$9:$D$3900, B14)</f>
        <v>0</v>
      </c>
      <c r="J14" s="2">
        <f>SUMIFS(Ingresos!$J$9:$J$3900, Ingresos!$L$9:$L$3900, $J$3, Ingresos!$M$9:$M$3900, $J$4, Ingresos!$D$9:$D$3900, B14)</f>
        <v>0</v>
      </c>
      <c r="K14" s="2">
        <f>SUMIFS(Ingresos!$J$9:$J$3900, Ingresos!$L$9:$L$3900, $K$3, Ingresos!$M$9:$M$3900, $K$4, Ingresos!$D$9:$D$3900, B14)</f>
        <v>0</v>
      </c>
      <c r="L14" s="2">
        <f>SUMIFS(Ingresos!$J$9:$J$3900, Ingresos!$L$9:$L$3900, $L$3, Ingresos!$M$9:$M$3900, $L$4, Ingresos!$D$9:$D$3900, B14)</f>
        <v>0</v>
      </c>
      <c r="M14" s="2">
        <f>SUMIFS(Ingresos!$J$9:$J$3900, Ingresos!$L$9:$L$3900, $M$3, Ingresos!$M$9:$M$3900, $M$4, Ingresos!$D$9:$D$3900, B14)</f>
        <v>0</v>
      </c>
      <c r="N14" s="2">
        <f>SUMIFS(Ingresos!$J$9:$J$3900, Ingresos!$L$9:$L$3900, $N$3, Ingresos!$M$9:$M$3900, $N$4, Ingresos!$D$9:$D$3900, B14)</f>
        <v>0</v>
      </c>
      <c r="O14" s="2">
        <f t="shared" si="6"/>
        <v>0</v>
      </c>
      <c r="Q14" s="2" t="e">
        <f>#REF!</f>
        <v>#REF!</v>
      </c>
      <c r="R14" s="2">
        <f>SUMIFS(Gastos!$J$9:$J$4091, Gastos!$L$9:$L$4091, $R$3, Gastos!$M$9:$M$4091, $R$4, Gastos!$D$9:$D$4091, Q14)</f>
        <v>0</v>
      </c>
      <c r="S14" s="2">
        <f>SUMIFS(Gastos!$J$9:$J$4091, Gastos!$L$9:$L$4091, $S$3, Gastos!$M$9:$M$4091, $S$4, Gastos!$D$9:$D$4091, Q14)</f>
        <v>0</v>
      </c>
      <c r="T14" s="2">
        <f>SUMIFS(Gastos!$J$9:$J$4091, Gastos!$L$9:$L$4091, $T$3, Gastos!$M$9:$M$4091, $T$4, Gastos!$D$9:$D$4091, Q14)</f>
        <v>0</v>
      </c>
      <c r="U14" s="2">
        <f>SUMIFS(Gastos!$J$9:$J$4091, Gastos!$L$9:$L$4091, $U$3, Gastos!$M$9:$M$4091, $U$4, Gastos!$D$9:$D$4091, Q14)</f>
        <v>0</v>
      </c>
      <c r="V14" s="2">
        <f>SUMIFS(Gastos!$J$9:$J$4091, Gastos!$L$9:$L$4091, $V$3, Gastos!$M$9:$M$4091, $V$4, Gastos!$D$9:$D$4091, Q14)</f>
        <v>0</v>
      </c>
      <c r="W14" s="2">
        <f>SUMIFS(Gastos!$J$9:$J$4091, Gastos!$L$9:$L$4091, $W$3, Gastos!$M$9:$M$4091, $W$4, Gastos!$D$9:$D$4091, Q14)</f>
        <v>0</v>
      </c>
      <c r="X14" s="2">
        <f>SUMIFS(Gastos!$J$9:$J$4091, Gastos!$L$9:$L$4091, $X$3, Gastos!$M$9:$M$4091, $X$4, Gastos!$D$9:$D$4091, Q14)</f>
        <v>0</v>
      </c>
      <c r="Y14" s="2">
        <f>SUMIFS(Gastos!$J$9:$J$4091, Gastos!$L$9:$L$4091, $Y$3, Gastos!$M$9:$M$4091, $Y$4, Gastos!$D$9:$D$4091, Q14)</f>
        <v>0</v>
      </c>
      <c r="Z14" s="2">
        <f>SUMIFS(Gastos!$J$9:$J$4091, Gastos!$L$9:$L$4091, $Z$3, Gastos!$M$9:$M$4091, $Z$4, Gastos!$D$9:$D$4091, Q14)</f>
        <v>0</v>
      </c>
      <c r="AA14" s="2">
        <f>SUMIFS(Gastos!$J$9:$J$4091, Gastos!$L$9:$L$4091, $AA$3, Gastos!$M$9:$M$4091, $AA$4, Gastos!$D$9:$D$4091, Q14)</f>
        <v>0</v>
      </c>
      <c r="AB14" s="2">
        <f>SUMIFS(Gastos!$J$9:$J$4091, Gastos!$L$9:$L$4091, $AB$3, Gastos!$M$9:$M$4091, $AB$4, Gastos!$D$9:$D$4091, Q14)</f>
        <v>0</v>
      </c>
      <c r="AC14" s="2">
        <f>SUMIFS(Gastos!$J$9:$J$4091, Gastos!$L$9:$L$4091, $AC$3, Gastos!$M$9:$M$4091, $AC$4, Gastos!$D$9:$D$4091, Q14)</f>
        <v>0</v>
      </c>
      <c r="AD14" s="2">
        <f t="shared" si="7"/>
        <v>0</v>
      </c>
      <c r="AF14" s="5" t="e">
        <f>#REF!</f>
        <v>#REF!</v>
      </c>
      <c r="AG14" s="1" t="e">
        <f>#REF!</f>
        <v>#REF!</v>
      </c>
      <c r="AH14" s="1" t="e">
        <f>#REF!</f>
        <v>#REF!</v>
      </c>
      <c r="AI14" s="1" t="e">
        <f>#REF!</f>
        <v>#REF!</v>
      </c>
      <c r="AJ14" s="6"/>
      <c r="AK14" s="2" t="s">
        <v>26</v>
      </c>
      <c r="AL14" s="2" t="s">
        <v>22</v>
      </c>
      <c r="AM14" s="2" t="s">
        <v>23</v>
      </c>
      <c r="AN14" s="2" t="s">
        <v>24</v>
      </c>
      <c r="AO14" s="2" t="s">
        <v>125</v>
      </c>
      <c r="AP14" s="2" t="s">
        <v>126</v>
      </c>
    </row>
    <row r="15" spans="2:50">
      <c r="B15" s="2" t="e">
        <f>#REF!</f>
        <v>#REF!</v>
      </c>
      <c r="C15" s="2">
        <f>SUMIFS(Ingresos!$J$9:$J$3900, Ingresos!$L$9:$L$3900, $C$3, Ingresos!$M$9:$M$3900, $C$4, Ingresos!$D$9:$D$3900, B15)</f>
        <v>0</v>
      </c>
      <c r="D15" s="2">
        <f>SUMIFS(Ingresos!$J$9:$J$3900, Ingresos!$L$9:$L$3900, $D$3, Ingresos!$M$9:$M$3900, $D$4, Ingresos!$D$9:$D$3900, B15)</f>
        <v>0</v>
      </c>
      <c r="E15" s="2">
        <f>SUMIFS(Ingresos!$J$9:$J$3900, Ingresos!$L$9:$L$3900, $E$3, Ingresos!$M$9:$M$3900, $E$4, Ingresos!$D$9:$D$3900, B15)</f>
        <v>0</v>
      </c>
      <c r="F15" s="2">
        <f>SUMIFS(Ingresos!$J$9:$J$3900, Ingresos!$L$9:$L$3900, $F$3, Ingresos!$M$9:$M$3900, $F$4, Ingresos!$D$9:$D$3900, B15)</f>
        <v>0</v>
      </c>
      <c r="G15" s="2">
        <f>SUMIFS(Ingresos!$J$9:$J$3900, Ingresos!$L$9:$L$3900, $G$3, Ingresos!$M$9:$M$3900, $G$4, Ingresos!$D$9:$D$3900, B15)</f>
        <v>0</v>
      </c>
      <c r="H15" s="2">
        <f>SUMIFS(Ingresos!$J$9:$J$3900, Ingresos!$L$9:$L$3900, $H$3, Ingresos!$M$9:$M$3900, $H$4, Ingresos!$D$9:$D$3900, B15)</f>
        <v>0</v>
      </c>
      <c r="I15" s="2">
        <f>SUMIFS(Ingresos!$J$9:$J$3900, Ingresos!$L$9:$L$3900, $I$3, Ingresos!$M$9:$M$3900, $I$4, Ingresos!$D$9:$D$3900, B15)</f>
        <v>0</v>
      </c>
      <c r="J15" s="2">
        <f>SUMIFS(Ingresos!$J$9:$J$3900, Ingresos!$L$9:$L$3900, $J$3, Ingresos!$M$9:$M$3900, $J$4, Ingresos!$D$9:$D$3900, B15)</f>
        <v>0</v>
      </c>
      <c r="K15" s="2">
        <f>SUMIFS(Ingresos!$J$9:$J$3900, Ingresos!$L$9:$L$3900, $K$3, Ingresos!$M$9:$M$3900, $K$4, Ingresos!$D$9:$D$3900, B15)</f>
        <v>0</v>
      </c>
      <c r="L15" s="2">
        <f>SUMIFS(Ingresos!$J$9:$J$3900, Ingresos!$L$9:$L$3900, $L$3, Ingresos!$M$9:$M$3900, $L$4, Ingresos!$D$9:$D$3900, B15)</f>
        <v>0</v>
      </c>
      <c r="M15" s="2">
        <f>SUMIFS(Ingresos!$J$9:$J$3900, Ingresos!$L$9:$L$3900, $M$3, Ingresos!$M$9:$M$3900, $M$4, Ingresos!$D$9:$D$3900, B15)</f>
        <v>0</v>
      </c>
      <c r="N15" s="2">
        <f>SUMIFS(Ingresos!$J$9:$J$3900, Ingresos!$L$9:$L$3900, $N$3, Ingresos!$M$9:$M$3900, $N$4, Ingresos!$D$9:$D$3900, B15)</f>
        <v>0</v>
      </c>
      <c r="O15" s="2">
        <f t="shared" si="6"/>
        <v>0</v>
      </c>
      <c r="Q15" s="2" t="e">
        <f>#REF!</f>
        <v>#REF!</v>
      </c>
      <c r="R15" s="2">
        <f>SUMIFS(Gastos!$J$9:$J$4091, Gastos!$L$9:$L$4091, $R$3, Gastos!$M$9:$M$4091, $R$4, Gastos!$D$9:$D$4091, Q15)</f>
        <v>0</v>
      </c>
      <c r="S15" s="2">
        <f>SUMIFS(Gastos!$J$9:$J$4091, Gastos!$L$9:$L$4091, $S$3, Gastos!$M$9:$M$4091, $S$4, Gastos!$D$9:$D$4091, Q15)</f>
        <v>0</v>
      </c>
      <c r="T15" s="2">
        <f>SUMIFS(Gastos!$J$9:$J$4091, Gastos!$L$9:$L$4091, $T$3, Gastos!$M$9:$M$4091, $T$4, Gastos!$D$9:$D$4091, Q15)</f>
        <v>0</v>
      </c>
      <c r="U15" s="2">
        <f>SUMIFS(Gastos!$J$9:$J$4091, Gastos!$L$9:$L$4091, $U$3, Gastos!$M$9:$M$4091, $U$4, Gastos!$D$9:$D$4091, Q15)</f>
        <v>0</v>
      </c>
      <c r="V15" s="2">
        <f>SUMIFS(Gastos!$J$9:$J$4091, Gastos!$L$9:$L$4091, $V$3, Gastos!$M$9:$M$4091, $V$4, Gastos!$D$9:$D$4091, Q15)</f>
        <v>0</v>
      </c>
      <c r="W15" s="2">
        <f>SUMIFS(Gastos!$J$9:$J$4091, Gastos!$L$9:$L$4091, $W$3, Gastos!$M$9:$M$4091, $W$4, Gastos!$D$9:$D$4091, Q15)</f>
        <v>0</v>
      </c>
      <c r="X15" s="2">
        <f>SUMIFS(Gastos!$J$9:$J$4091, Gastos!$L$9:$L$4091, $X$3, Gastos!$M$9:$M$4091, $X$4, Gastos!$D$9:$D$4091, Q15)</f>
        <v>0</v>
      </c>
      <c r="Y15" s="2">
        <f>SUMIFS(Gastos!$J$9:$J$4091, Gastos!$L$9:$L$4091, $Y$3, Gastos!$M$9:$M$4091, $Y$4, Gastos!$D$9:$D$4091, Q15)</f>
        <v>0</v>
      </c>
      <c r="Z15" s="2">
        <f>SUMIFS(Gastos!$J$9:$J$4091, Gastos!$L$9:$L$4091, $Z$3, Gastos!$M$9:$M$4091, $Z$4, Gastos!$D$9:$D$4091, Q15)</f>
        <v>0</v>
      </c>
      <c r="AA15" s="2">
        <f>SUMIFS(Gastos!$J$9:$J$4091, Gastos!$L$9:$L$4091, $AA$3, Gastos!$M$9:$M$4091, $AA$4, Gastos!$D$9:$D$4091, Q15)</f>
        <v>0</v>
      </c>
      <c r="AB15" s="2">
        <f>SUMIFS(Gastos!$J$9:$J$4091, Gastos!$L$9:$L$4091, $AB$3, Gastos!$M$9:$M$4091, $AB$4, Gastos!$D$9:$D$4091, Q15)</f>
        <v>0</v>
      </c>
      <c r="AC15" s="2">
        <f>SUMIFS(Gastos!$J$9:$J$4091, Gastos!$L$9:$L$4091, $AC$3, Gastos!$M$9:$M$4091, $AC$4, Gastos!$D$9:$D$4091, Q15)</f>
        <v>0</v>
      </c>
      <c r="AD15" s="2">
        <f t="shared" si="7"/>
        <v>0</v>
      </c>
      <c r="AF15" s="5" t="e">
        <f>#REF!</f>
        <v>#REF!</v>
      </c>
      <c r="AG15" s="1" t="e">
        <f>#REF!</f>
        <v>#REF!</v>
      </c>
      <c r="AH15" s="1" t="e">
        <f>#REF!</f>
        <v>#REF!</v>
      </c>
      <c r="AI15" s="1" t="e">
        <f>#REF!</f>
        <v>#REF!</v>
      </c>
      <c r="AJ15" s="6"/>
      <c r="AK15" s="19" t="e">
        <f>#REF!</f>
        <v>#REF!</v>
      </c>
      <c r="AL15" s="2" t="e">
        <f>#REF!</f>
        <v>#REF!</v>
      </c>
      <c r="AM15" s="2" t="e">
        <f>#REF!</f>
        <v>#REF!</v>
      </c>
      <c r="AN15" s="2" t="e">
        <f>AL15-AM15</f>
        <v>#REF!</v>
      </c>
      <c r="AO15" s="2" t="e">
        <f>AL15</f>
        <v>#REF!</v>
      </c>
      <c r="AP15" s="2" t="e">
        <f>AM15</f>
        <v>#REF!</v>
      </c>
    </row>
    <row r="16" spans="2:50">
      <c r="B16" s="2" t="e">
        <f>#REF!</f>
        <v>#REF!</v>
      </c>
      <c r="C16" s="2">
        <f>SUMIFS(Ingresos!$J$9:$J$3900, Ingresos!$L$9:$L$3900, $C$3, Ingresos!$M$9:$M$3900, $C$4, Ingresos!$D$9:$D$3900, B16)</f>
        <v>0</v>
      </c>
      <c r="D16" s="2">
        <f>SUMIFS(Ingresos!$J$9:$J$3900, Ingresos!$L$9:$L$3900, $D$3, Ingresos!$M$9:$M$3900, $D$4, Ingresos!$D$9:$D$3900, B16)</f>
        <v>0</v>
      </c>
      <c r="E16" s="2">
        <f>SUMIFS(Ingresos!$J$9:$J$3900, Ingresos!$L$9:$L$3900, $E$3, Ingresos!$M$9:$M$3900, $E$4, Ingresos!$D$9:$D$3900, B16)</f>
        <v>0</v>
      </c>
      <c r="F16" s="2">
        <f>SUMIFS(Ingresos!$J$9:$J$3900, Ingresos!$L$9:$L$3900, $F$3, Ingresos!$M$9:$M$3900, $F$4, Ingresos!$D$9:$D$3900, B16)</f>
        <v>0</v>
      </c>
      <c r="G16" s="2">
        <f>SUMIFS(Ingresos!$J$9:$J$3900, Ingresos!$L$9:$L$3900, $G$3, Ingresos!$M$9:$M$3900, $G$4, Ingresos!$D$9:$D$3900, B16)</f>
        <v>0</v>
      </c>
      <c r="H16" s="2">
        <f>SUMIFS(Ingresos!$J$9:$J$3900, Ingresos!$L$9:$L$3900, $H$3, Ingresos!$M$9:$M$3900, $H$4, Ingresos!$D$9:$D$3900, B16)</f>
        <v>0</v>
      </c>
      <c r="I16" s="2">
        <f>SUMIFS(Ingresos!$J$9:$J$3900, Ingresos!$L$9:$L$3900, $I$3, Ingresos!$M$9:$M$3900, $I$4, Ingresos!$D$9:$D$3900, B16)</f>
        <v>0</v>
      </c>
      <c r="J16" s="2">
        <f>SUMIFS(Ingresos!$J$9:$J$3900, Ingresos!$L$9:$L$3900, $J$3, Ingresos!$M$9:$M$3900, $J$4, Ingresos!$D$9:$D$3900, B16)</f>
        <v>0</v>
      </c>
      <c r="K16" s="2">
        <f>SUMIFS(Ingresos!$J$9:$J$3900, Ingresos!$L$9:$L$3900, $K$3, Ingresos!$M$9:$M$3900, $K$4, Ingresos!$D$9:$D$3900, B16)</f>
        <v>0</v>
      </c>
      <c r="L16" s="2">
        <f>SUMIFS(Ingresos!$J$9:$J$3900, Ingresos!$L$9:$L$3900, $L$3, Ingresos!$M$9:$M$3900, $L$4, Ingresos!$D$9:$D$3900, B16)</f>
        <v>0</v>
      </c>
      <c r="M16" s="2">
        <f>SUMIFS(Ingresos!$J$9:$J$3900, Ingresos!$L$9:$L$3900, $M$3, Ingresos!$M$9:$M$3900, $M$4, Ingresos!$D$9:$D$3900, B16)</f>
        <v>0</v>
      </c>
      <c r="N16" s="2">
        <f>SUMIFS(Ingresos!$J$9:$J$3900, Ingresos!$L$9:$L$3900, $N$3, Ingresos!$M$9:$M$3900, $N$4, Ingresos!$D$9:$D$3900, B16)</f>
        <v>0</v>
      </c>
      <c r="O16" s="2">
        <f t="shared" si="6"/>
        <v>0</v>
      </c>
      <c r="Q16" s="2" t="e">
        <f>#REF!</f>
        <v>#REF!</v>
      </c>
      <c r="R16" s="2">
        <f>SUMIFS(Gastos!$J$9:$J$4091, Gastos!$L$9:$L$4091, $R$3, Gastos!$M$9:$M$4091, $R$4, Gastos!$D$9:$D$4091, Q16)</f>
        <v>0</v>
      </c>
      <c r="S16" s="2">
        <f>SUMIFS(Gastos!$J$9:$J$4091, Gastos!$L$9:$L$4091, $S$3, Gastos!$M$9:$M$4091, $S$4, Gastos!$D$9:$D$4091, Q16)</f>
        <v>0</v>
      </c>
      <c r="T16" s="2">
        <f>SUMIFS(Gastos!$J$9:$J$4091, Gastos!$L$9:$L$4091, $T$3, Gastos!$M$9:$M$4091, $T$4, Gastos!$D$9:$D$4091, Q16)</f>
        <v>0</v>
      </c>
      <c r="U16" s="2">
        <f>SUMIFS(Gastos!$J$9:$J$4091, Gastos!$L$9:$L$4091, $U$3, Gastos!$M$9:$M$4091, $U$4, Gastos!$D$9:$D$4091, Q16)</f>
        <v>0</v>
      </c>
      <c r="V16" s="2">
        <f>SUMIFS(Gastos!$J$9:$J$4091, Gastos!$L$9:$L$4091, $V$3, Gastos!$M$9:$M$4091, $V$4, Gastos!$D$9:$D$4091, Q16)</f>
        <v>0</v>
      </c>
      <c r="W16" s="2">
        <f>SUMIFS(Gastos!$J$9:$J$4091, Gastos!$L$9:$L$4091, $W$3, Gastos!$M$9:$M$4091, $W$4, Gastos!$D$9:$D$4091, Q16)</f>
        <v>0</v>
      </c>
      <c r="X16" s="2">
        <f>SUMIFS(Gastos!$J$9:$J$4091, Gastos!$L$9:$L$4091, $X$3, Gastos!$M$9:$M$4091, $X$4, Gastos!$D$9:$D$4091, Q16)</f>
        <v>0</v>
      </c>
      <c r="Y16" s="2">
        <f>SUMIFS(Gastos!$J$9:$J$4091, Gastos!$L$9:$L$4091, $Y$3, Gastos!$M$9:$M$4091, $Y$4, Gastos!$D$9:$D$4091, Q16)</f>
        <v>0</v>
      </c>
      <c r="Z16" s="2">
        <f>SUMIFS(Gastos!$J$9:$J$4091, Gastos!$L$9:$L$4091, $Z$3, Gastos!$M$9:$M$4091, $Z$4, Gastos!$D$9:$D$4091, Q16)</f>
        <v>0</v>
      </c>
      <c r="AA16" s="2">
        <f>SUMIFS(Gastos!$J$9:$J$4091, Gastos!$L$9:$L$4091, $AA$3, Gastos!$M$9:$M$4091, $AA$4, Gastos!$D$9:$D$4091, Q16)</f>
        <v>0</v>
      </c>
      <c r="AB16" s="2">
        <f>SUMIFS(Gastos!$J$9:$J$4091, Gastos!$L$9:$L$4091, $AB$3, Gastos!$M$9:$M$4091, $AB$4, Gastos!$D$9:$D$4091, Q16)</f>
        <v>0</v>
      </c>
      <c r="AC16" s="2">
        <f>SUMIFS(Gastos!$J$9:$J$4091, Gastos!$L$9:$L$4091, $AC$3, Gastos!$M$9:$M$4091, $AC$4, Gastos!$D$9:$D$4091, Q16)</f>
        <v>0</v>
      </c>
      <c r="AD16" s="2">
        <f t="shared" si="7"/>
        <v>0</v>
      </c>
      <c r="AF16" s="4"/>
      <c r="AK16" s="19" t="e">
        <f>#REF!</f>
        <v>#REF!</v>
      </c>
      <c r="AL16" s="2" t="e">
        <f>#REF!</f>
        <v>#REF!</v>
      </c>
      <c r="AM16" s="2" t="e">
        <f>#REF!</f>
        <v>#REF!</v>
      </c>
      <c r="AN16" s="2" t="e">
        <f t="shared" ref="AN16:AN26" si="10">AL16-AM16</f>
        <v>#REF!</v>
      </c>
      <c r="AO16" s="2" t="e">
        <f>AO15+AL16</f>
        <v>#REF!</v>
      </c>
      <c r="AP16" s="2" t="e">
        <f>AP15+AM16</f>
        <v>#REF!</v>
      </c>
    </row>
    <row r="17" spans="2:42">
      <c r="B17" s="2" t="e">
        <f>#REF!</f>
        <v>#REF!</v>
      </c>
      <c r="C17" s="2">
        <f>SUMIFS(Ingresos!$J$9:$J$3900, Ingresos!$L$9:$L$3900, $C$3, Ingresos!$M$9:$M$3900, $C$4, Ingresos!$D$9:$D$3900, B17)</f>
        <v>0</v>
      </c>
      <c r="D17" s="2">
        <f>SUMIFS(Ingresos!$J$9:$J$3900, Ingresos!$L$9:$L$3900, $D$3, Ingresos!$M$9:$M$3900, $D$4, Ingresos!$D$9:$D$3900, B17)</f>
        <v>0</v>
      </c>
      <c r="E17" s="2">
        <f>SUMIFS(Ingresos!$J$9:$J$3900, Ingresos!$L$9:$L$3900, $E$3, Ingresos!$M$9:$M$3900, $E$4, Ingresos!$D$9:$D$3900, B17)</f>
        <v>0</v>
      </c>
      <c r="F17" s="2">
        <f>SUMIFS(Ingresos!$J$9:$J$3900, Ingresos!$L$9:$L$3900, $F$3, Ingresos!$M$9:$M$3900, $F$4, Ingresos!$D$9:$D$3900, B17)</f>
        <v>0</v>
      </c>
      <c r="G17" s="2">
        <f>SUMIFS(Ingresos!$J$9:$J$3900, Ingresos!$L$9:$L$3900, $G$3, Ingresos!$M$9:$M$3900, $G$4, Ingresos!$D$9:$D$3900, B17)</f>
        <v>0</v>
      </c>
      <c r="H17" s="2">
        <f>SUMIFS(Ingresos!$J$9:$J$3900, Ingresos!$L$9:$L$3900, $H$3, Ingresos!$M$9:$M$3900, $H$4, Ingresos!$D$9:$D$3900, B17)</f>
        <v>0</v>
      </c>
      <c r="I17" s="2">
        <f>SUMIFS(Ingresos!$J$9:$J$3900, Ingresos!$L$9:$L$3900, $I$3, Ingresos!$M$9:$M$3900, $I$4, Ingresos!$D$9:$D$3900, B17)</f>
        <v>0</v>
      </c>
      <c r="J17" s="2">
        <f>SUMIFS(Ingresos!$J$9:$J$3900, Ingresos!$L$9:$L$3900, $J$3, Ingresos!$M$9:$M$3900, $J$4, Ingresos!$D$9:$D$3900, B17)</f>
        <v>0</v>
      </c>
      <c r="K17" s="2">
        <f>SUMIFS(Ingresos!$J$9:$J$3900, Ingresos!$L$9:$L$3900, $K$3, Ingresos!$M$9:$M$3900, $K$4, Ingresos!$D$9:$D$3900, B17)</f>
        <v>0</v>
      </c>
      <c r="L17" s="2">
        <f>SUMIFS(Ingresos!$J$9:$J$3900, Ingresos!$L$9:$L$3900, $L$3, Ingresos!$M$9:$M$3900, $L$4, Ingresos!$D$9:$D$3900, B17)</f>
        <v>0</v>
      </c>
      <c r="M17" s="2">
        <f>SUMIFS(Ingresos!$J$9:$J$3900, Ingresos!$L$9:$L$3900, $M$3, Ingresos!$M$9:$M$3900, $M$4, Ingresos!$D$9:$D$3900, B17)</f>
        <v>0</v>
      </c>
      <c r="N17" s="2">
        <f>SUMIFS(Ingresos!$J$9:$J$3900, Ingresos!$L$9:$L$3900, $N$3, Ingresos!$M$9:$M$3900, $N$4, Ingresos!$D$9:$D$3900, B17)</f>
        <v>0</v>
      </c>
      <c r="O17" s="2">
        <f t="shared" si="6"/>
        <v>0</v>
      </c>
      <c r="Q17" s="2" t="e">
        <f>#REF!</f>
        <v>#REF!</v>
      </c>
      <c r="R17" s="2">
        <f>SUMIFS(Gastos!$J$9:$J$4091, Gastos!$L$9:$L$4091, $R$3, Gastos!$M$9:$M$4091, $R$4, Gastos!$D$9:$D$4091, Q17)</f>
        <v>0</v>
      </c>
      <c r="S17" s="2">
        <f>SUMIFS(Gastos!$J$9:$J$4091, Gastos!$L$9:$L$4091, $S$3, Gastos!$M$9:$M$4091, $S$4, Gastos!$D$9:$D$4091, Q17)</f>
        <v>0</v>
      </c>
      <c r="T17" s="2">
        <f>SUMIFS(Gastos!$J$9:$J$4091, Gastos!$L$9:$L$4091, $T$3, Gastos!$M$9:$M$4091, $T$4, Gastos!$D$9:$D$4091, Q17)</f>
        <v>0</v>
      </c>
      <c r="U17" s="2">
        <f>SUMIFS(Gastos!$J$9:$J$4091, Gastos!$L$9:$L$4091, $U$3, Gastos!$M$9:$M$4091, $U$4, Gastos!$D$9:$D$4091, Q17)</f>
        <v>0</v>
      </c>
      <c r="V17" s="2">
        <f>SUMIFS(Gastos!$J$9:$J$4091, Gastos!$L$9:$L$4091, $V$3, Gastos!$M$9:$M$4091, $V$4, Gastos!$D$9:$D$4091, Q17)</f>
        <v>0</v>
      </c>
      <c r="W17" s="2">
        <f>SUMIFS(Gastos!$J$9:$J$4091, Gastos!$L$9:$L$4091, $W$3, Gastos!$M$9:$M$4091, $W$4, Gastos!$D$9:$D$4091, Q17)</f>
        <v>0</v>
      </c>
      <c r="X17" s="2">
        <f>SUMIFS(Gastos!$J$9:$J$4091, Gastos!$L$9:$L$4091, $X$3, Gastos!$M$9:$M$4091, $X$4, Gastos!$D$9:$D$4091, Q17)</f>
        <v>0</v>
      </c>
      <c r="Y17" s="2">
        <f>SUMIFS(Gastos!$J$9:$J$4091, Gastos!$L$9:$L$4091, $Y$3, Gastos!$M$9:$M$4091, $Y$4, Gastos!$D$9:$D$4091, Q17)</f>
        <v>0</v>
      </c>
      <c r="Z17" s="2">
        <f>SUMIFS(Gastos!$J$9:$J$4091, Gastos!$L$9:$L$4091, $Z$3, Gastos!$M$9:$M$4091, $Z$4, Gastos!$D$9:$D$4091, Q17)</f>
        <v>0</v>
      </c>
      <c r="AA17" s="2">
        <f>SUMIFS(Gastos!$J$9:$J$4091, Gastos!$L$9:$L$4091, $AA$3, Gastos!$M$9:$M$4091, $AA$4, Gastos!$D$9:$D$4091, Q17)</f>
        <v>0</v>
      </c>
      <c r="AB17" s="2">
        <f>SUMIFS(Gastos!$J$9:$J$4091, Gastos!$L$9:$L$4091, $AB$3, Gastos!$M$9:$M$4091, $AB$4, Gastos!$D$9:$D$4091, Q17)</f>
        <v>0</v>
      </c>
      <c r="AC17" s="2">
        <f>SUMIFS(Gastos!$J$9:$J$4091, Gastos!$L$9:$L$4091, $AC$3, Gastos!$M$9:$M$4091, $AC$4, Gastos!$D$9:$D$4091, Q17)</f>
        <v>0</v>
      </c>
      <c r="AD17" s="2">
        <f t="shared" si="7"/>
        <v>0</v>
      </c>
      <c r="AK17" s="19" t="e">
        <f>#REF!</f>
        <v>#REF!</v>
      </c>
      <c r="AL17" s="2" t="e">
        <f>#REF!</f>
        <v>#REF!</v>
      </c>
      <c r="AM17" s="2" t="e">
        <f>#REF!</f>
        <v>#REF!</v>
      </c>
      <c r="AN17" s="2" t="e">
        <f t="shared" si="10"/>
        <v>#REF!</v>
      </c>
      <c r="AO17" s="2" t="e">
        <f t="shared" ref="AO17:AO25" si="11">AO16+AL17</f>
        <v>#REF!</v>
      </c>
      <c r="AP17" s="2" t="e">
        <f>AP16+AM17</f>
        <v>#REF!</v>
      </c>
    </row>
    <row r="18" spans="2:42">
      <c r="B18" s="2" t="e">
        <f>#REF!</f>
        <v>#REF!</v>
      </c>
      <c r="C18" s="2">
        <f>SUMIFS(Ingresos!$J$9:$J$3900, Ingresos!$L$9:$L$3900, $C$3, Ingresos!$M$9:$M$3900, $C$4, Ingresos!$D$9:$D$3900, B18)</f>
        <v>0</v>
      </c>
      <c r="D18" s="2">
        <f>SUMIFS(Ingresos!$J$9:$J$3900, Ingresos!$L$9:$L$3900, $D$3, Ingresos!$M$9:$M$3900, $D$4, Ingresos!$D$9:$D$3900, B18)</f>
        <v>0</v>
      </c>
      <c r="E18" s="2">
        <f>SUMIFS(Ingresos!$J$9:$J$3900, Ingresos!$L$9:$L$3900, $E$3, Ingresos!$M$9:$M$3900, $E$4, Ingresos!$D$9:$D$3900, B18)</f>
        <v>0</v>
      </c>
      <c r="F18" s="2">
        <f>SUMIFS(Ingresos!$J$9:$J$3900, Ingresos!$L$9:$L$3900, $F$3, Ingresos!$M$9:$M$3900, $F$4, Ingresos!$D$9:$D$3900, B18)</f>
        <v>0</v>
      </c>
      <c r="G18" s="2">
        <f>SUMIFS(Ingresos!$J$9:$J$3900, Ingresos!$L$9:$L$3900, $G$3, Ingresos!$M$9:$M$3900, $G$4, Ingresos!$D$9:$D$3900, B18)</f>
        <v>0</v>
      </c>
      <c r="H18" s="2">
        <f>SUMIFS(Ingresos!$J$9:$J$3900, Ingresos!$L$9:$L$3900, $H$3, Ingresos!$M$9:$M$3900, $H$4, Ingresos!$D$9:$D$3900, B18)</f>
        <v>0</v>
      </c>
      <c r="I18" s="2">
        <f>SUMIFS(Ingresos!$J$9:$J$3900, Ingresos!$L$9:$L$3900, $I$3, Ingresos!$M$9:$M$3900, $I$4, Ingresos!$D$9:$D$3900, B18)</f>
        <v>0</v>
      </c>
      <c r="J18" s="2">
        <f>SUMIFS(Ingresos!$J$9:$J$3900, Ingresos!$L$9:$L$3900, $J$3, Ingresos!$M$9:$M$3900, $J$4, Ingresos!$D$9:$D$3900, B18)</f>
        <v>0</v>
      </c>
      <c r="K18" s="2">
        <f>SUMIFS(Ingresos!$J$9:$J$3900, Ingresos!$L$9:$L$3900, $K$3, Ingresos!$M$9:$M$3900, $K$4, Ingresos!$D$9:$D$3900, B18)</f>
        <v>0</v>
      </c>
      <c r="L18" s="2">
        <f>SUMIFS(Ingresos!$J$9:$J$3900, Ingresos!$L$9:$L$3900, $L$3, Ingresos!$M$9:$M$3900, $L$4, Ingresos!$D$9:$D$3900, B18)</f>
        <v>0</v>
      </c>
      <c r="M18" s="2">
        <f>SUMIFS(Ingresos!$J$9:$J$3900, Ingresos!$L$9:$L$3900, $M$3, Ingresos!$M$9:$M$3900, $M$4, Ingresos!$D$9:$D$3900, B18)</f>
        <v>0</v>
      </c>
      <c r="N18" s="2">
        <f>SUMIFS(Ingresos!$J$9:$J$3900, Ingresos!$L$9:$L$3900, $N$3, Ingresos!$M$9:$M$3900, $N$4, Ingresos!$D$9:$D$3900, B18)</f>
        <v>0</v>
      </c>
      <c r="O18" s="2">
        <f t="shared" si="6"/>
        <v>0</v>
      </c>
      <c r="Q18" s="2" t="e">
        <f>#REF!</f>
        <v>#REF!</v>
      </c>
      <c r="R18" s="2">
        <f>SUMIFS(Gastos!$J$9:$J$4091, Gastos!$L$9:$L$4091, $R$3, Gastos!$M$9:$M$4091, $R$4, Gastos!$D$9:$D$4091, Q18)</f>
        <v>0</v>
      </c>
      <c r="S18" s="2">
        <f>SUMIFS(Gastos!$J$9:$J$4091, Gastos!$L$9:$L$4091, $S$3, Gastos!$M$9:$M$4091, $S$4, Gastos!$D$9:$D$4091, Q18)</f>
        <v>0</v>
      </c>
      <c r="T18" s="2">
        <f>SUMIFS(Gastos!$J$9:$J$4091, Gastos!$L$9:$L$4091, $T$3, Gastos!$M$9:$M$4091, $T$4, Gastos!$D$9:$D$4091, Q18)</f>
        <v>0</v>
      </c>
      <c r="U18" s="2">
        <f>SUMIFS(Gastos!$J$9:$J$4091, Gastos!$L$9:$L$4091, $U$3, Gastos!$M$9:$M$4091, $U$4, Gastos!$D$9:$D$4091, Q18)</f>
        <v>0</v>
      </c>
      <c r="V18" s="2">
        <f>SUMIFS(Gastos!$J$9:$J$4091, Gastos!$L$9:$L$4091, $V$3, Gastos!$M$9:$M$4091, $V$4, Gastos!$D$9:$D$4091, Q18)</f>
        <v>0</v>
      </c>
      <c r="W18" s="2">
        <f>SUMIFS(Gastos!$J$9:$J$4091, Gastos!$L$9:$L$4091, $W$3, Gastos!$M$9:$M$4091, $W$4, Gastos!$D$9:$D$4091, Q18)</f>
        <v>0</v>
      </c>
      <c r="X18" s="2">
        <f>SUMIFS(Gastos!$J$9:$J$4091, Gastos!$L$9:$L$4091, $X$3, Gastos!$M$9:$M$4091, $X$4, Gastos!$D$9:$D$4091, Q18)</f>
        <v>0</v>
      </c>
      <c r="Y18" s="2">
        <f>SUMIFS(Gastos!$J$9:$J$4091, Gastos!$L$9:$L$4091, $Y$3, Gastos!$M$9:$M$4091, $Y$4, Gastos!$D$9:$D$4091, Q18)</f>
        <v>0</v>
      </c>
      <c r="Z18" s="2">
        <f>SUMIFS(Gastos!$J$9:$J$4091, Gastos!$L$9:$L$4091, $Z$3, Gastos!$M$9:$M$4091, $Z$4, Gastos!$D$9:$D$4091, Q18)</f>
        <v>0</v>
      </c>
      <c r="AA18" s="2">
        <f>SUMIFS(Gastos!$J$9:$J$4091, Gastos!$L$9:$L$4091, $AA$3, Gastos!$M$9:$M$4091, $AA$4, Gastos!$D$9:$D$4091, Q18)</f>
        <v>0</v>
      </c>
      <c r="AB18" s="2">
        <f>SUMIFS(Gastos!$J$9:$J$4091, Gastos!$L$9:$L$4091, $AB$3, Gastos!$M$9:$M$4091, $AB$4, Gastos!$D$9:$D$4091, Q18)</f>
        <v>0</v>
      </c>
      <c r="AC18" s="2">
        <f>SUMIFS(Gastos!$J$9:$J$4091, Gastos!$L$9:$L$4091, $AC$3, Gastos!$M$9:$M$4091, $AC$4, Gastos!$D$9:$D$4091, Q18)</f>
        <v>0</v>
      </c>
      <c r="AD18" s="2">
        <f t="shared" si="7"/>
        <v>0</v>
      </c>
      <c r="AK18" s="19" t="e">
        <f>#REF!</f>
        <v>#REF!</v>
      </c>
      <c r="AL18" s="2" t="e">
        <f>#REF!</f>
        <v>#REF!</v>
      </c>
      <c r="AM18" s="2" t="e">
        <f>#REF!</f>
        <v>#REF!</v>
      </c>
      <c r="AN18" s="2" t="e">
        <f t="shared" si="10"/>
        <v>#REF!</v>
      </c>
      <c r="AO18" s="2" t="e">
        <f t="shared" si="11"/>
        <v>#REF!</v>
      </c>
      <c r="AP18" s="2" t="e">
        <f t="shared" ref="AP18:AP26" si="12">AP17+AM18</f>
        <v>#REF!</v>
      </c>
    </row>
    <row r="19" spans="2:42">
      <c r="B19" s="2" t="e">
        <f>#REF!</f>
        <v>#REF!</v>
      </c>
      <c r="C19" s="2">
        <f>SUMIFS(Ingresos!$J$9:$J$3900, Ingresos!$L$9:$L$3900, $C$3, Ingresos!$M$9:$M$3900, $C$4, Ingresos!$D$9:$D$3900, B19)</f>
        <v>0</v>
      </c>
      <c r="D19" s="2">
        <f>SUMIFS(Ingresos!$J$9:$J$3900, Ingresos!$L$9:$L$3900, $D$3, Ingresos!$M$9:$M$3900, $D$4, Ingresos!$D$9:$D$3900, B19)</f>
        <v>0</v>
      </c>
      <c r="E19" s="2">
        <f>SUMIFS(Ingresos!$J$9:$J$3900, Ingresos!$L$9:$L$3900, $E$3, Ingresos!$M$9:$M$3900, $E$4, Ingresos!$D$9:$D$3900, B19)</f>
        <v>0</v>
      </c>
      <c r="F19" s="2">
        <f>SUMIFS(Ingresos!$J$9:$J$3900, Ingresos!$L$9:$L$3900, $F$3, Ingresos!$M$9:$M$3900, $F$4, Ingresos!$D$9:$D$3900, B19)</f>
        <v>0</v>
      </c>
      <c r="G19" s="2">
        <f>SUMIFS(Ingresos!$J$9:$J$3900, Ingresos!$L$9:$L$3900, $G$3, Ingresos!$M$9:$M$3900, $G$4, Ingresos!$D$9:$D$3900, B19)</f>
        <v>0</v>
      </c>
      <c r="H19" s="2">
        <f>SUMIFS(Ingresos!$J$9:$J$3900, Ingresos!$L$9:$L$3900, $H$3, Ingresos!$M$9:$M$3900, $H$4, Ingresos!$D$9:$D$3900, B19)</f>
        <v>0</v>
      </c>
      <c r="I19" s="2">
        <f>SUMIFS(Ingresos!$J$9:$J$3900, Ingresos!$L$9:$L$3900, $I$3, Ingresos!$M$9:$M$3900, $I$4, Ingresos!$D$9:$D$3900, B19)</f>
        <v>0</v>
      </c>
      <c r="J19" s="2">
        <f>SUMIFS(Ingresos!$J$9:$J$3900, Ingresos!$L$9:$L$3900, $J$3, Ingresos!$M$9:$M$3900, $J$4, Ingresos!$D$9:$D$3900, B19)</f>
        <v>0</v>
      </c>
      <c r="K19" s="2">
        <f>SUMIFS(Ingresos!$J$9:$J$3900, Ingresos!$L$9:$L$3900, $K$3, Ingresos!$M$9:$M$3900, $K$4, Ingresos!$D$9:$D$3900, B19)</f>
        <v>0</v>
      </c>
      <c r="L19" s="2">
        <f>SUMIFS(Ingresos!$J$9:$J$3900, Ingresos!$L$9:$L$3900, $L$3, Ingresos!$M$9:$M$3900, $L$4, Ingresos!$D$9:$D$3900, B19)</f>
        <v>0</v>
      </c>
      <c r="M19" s="2">
        <f>SUMIFS(Ingresos!$J$9:$J$3900, Ingresos!$L$9:$L$3900, $M$3, Ingresos!$M$9:$M$3900, $M$4, Ingresos!$D$9:$D$3900, B19)</f>
        <v>0</v>
      </c>
      <c r="N19" s="2">
        <f>SUMIFS(Ingresos!$J$9:$J$3900, Ingresos!$L$9:$L$3900, $N$3, Ingresos!$M$9:$M$3900, $N$4, Ingresos!$D$9:$D$3900, B19)</f>
        <v>0</v>
      </c>
      <c r="O19" s="2">
        <f t="shared" si="6"/>
        <v>0</v>
      </c>
      <c r="Q19" s="2" t="e">
        <f>#REF!</f>
        <v>#REF!</v>
      </c>
      <c r="R19" s="2">
        <f>SUMIFS(Gastos!$J$9:$J$4091, Gastos!$L$9:$L$4091, $R$3, Gastos!$M$9:$M$4091, $R$4, Gastos!$D$9:$D$4091, Q19)</f>
        <v>0</v>
      </c>
      <c r="S19" s="2">
        <f>SUMIFS(Gastos!$J$9:$J$4091, Gastos!$L$9:$L$4091, $S$3, Gastos!$M$9:$M$4091, $S$4, Gastos!$D$9:$D$4091, Q19)</f>
        <v>0</v>
      </c>
      <c r="T19" s="2">
        <f>SUMIFS(Gastos!$J$9:$J$4091, Gastos!$L$9:$L$4091, $T$3, Gastos!$M$9:$M$4091, $T$4, Gastos!$D$9:$D$4091, Q19)</f>
        <v>0</v>
      </c>
      <c r="U19" s="2">
        <f>SUMIFS(Gastos!$J$9:$J$4091, Gastos!$L$9:$L$4091, $U$3, Gastos!$M$9:$M$4091, $U$4, Gastos!$D$9:$D$4091, Q19)</f>
        <v>0</v>
      </c>
      <c r="V19" s="2">
        <f>SUMIFS(Gastos!$J$9:$J$4091, Gastos!$L$9:$L$4091, $V$3, Gastos!$M$9:$M$4091, $V$4, Gastos!$D$9:$D$4091, Q19)</f>
        <v>0</v>
      </c>
      <c r="W19" s="2">
        <f>SUMIFS(Gastos!$J$9:$J$4091, Gastos!$L$9:$L$4091, $W$3, Gastos!$M$9:$M$4091, $W$4, Gastos!$D$9:$D$4091, Q19)</f>
        <v>0</v>
      </c>
      <c r="X19" s="2">
        <f>SUMIFS(Gastos!$J$9:$J$4091, Gastos!$L$9:$L$4091, $X$3, Gastos!$M$9:$M$4091, $X$4, Gastos!$D$9:$D$4091, Q19)</f>
        <v>0</v>
      </c>
      <c r="Y19" s="2">
        <f>SUMIFS(Gastos!$J$9:$J$4091, Gastos!$L$9:$L$4091, $Y$3, Gastos!$M$9:$M$4091, $Y$4, Gastos!$D$9:$D$4091, Q19)</f>
        <v>0</v>
      </c>
      <c r="Z19" s="2">
        <f>SUMIFS(Gastos!$J$9:$J$4091, Gastos!$L$9:$L$4091, $Z$3, Gastos!$M$9:$M$4091, $Z$4, Gastos!$D$9:$D$4091, Q19)</f>
        <v>0</v>
      </c>
      <c r="AA19" s="2">
        <f>SUMIFS(Gastos!$J$9:$J$4091, Gastos!$L$9:$L$4091, $AA$3, Gastos!$M$9:$M$4091, $AA$4, Gastos!$D$9:$D$4091, Q19)</f>
        <v>0</v>
      </c>
      <c r="AB19" s="2">
        <f>SUMIFS(Gastos!$J$9:$J$4091, Gastos!$L$9:$L$4091, $AB$3, Gastos!$M$9:$M$4091, $AB$4, Gastos!$D$9:$D$4091, Q19)</f>
        <v>0</v>
      </c>
      <c r="AC19" s="2">
        <f>SUMIFS(Gastos!$J$9:$J$4091, Gastos!$L$9:$L$4091, $AC$3, Gastos!$M$9:$M$4091, $AC$4, Gastos!$D$9:$D$4091, Q19)</f>
        <v>0</v>
      </c>
      <c r="AD19" s="2">
        <f t="shared" si="7"/>
        <v>0</v>
      </c>
      <c r="AK19" s="19" t="e">
        <f>#REF!</f>
        <v>#REF!</v>
      </c>
      <c r="AL19" s="2" t="e">
        <f>#REF!</f>
        <v>#REF!</v>
      </c>
      <c r="AM19" s="2" t="e">
        <f>#REF!</f>
        <v>#REF!</v>
      </c>
      <c r="AN19" s="2" t="e">
        <f t="shared" si="10"/>
        <v>#REF!</v>
      </c>
      <c r="AO19" s="2" t="e">
        <f t="shared" si="11"/>
        <v>#REF!</v>
      </c>
      <c r="AP19" s="2" t="e">
        <f t="shared" si="12"/>
        <v>#REF!</v>
      </c>
    </row>
    <row r="20" spans="2:42">
      <c r="B20" s="2" t="e">
        <f>#REF!</f>
        <v>#REF!</v>
      </c>
      <c r="C20" s="2">
        <f>SUMIFS(Ingresos!$J$9:$J$3900, Ingresos!$L$9:$L$3900, $C$3, Ingresos!$M$9:$M$3900, $C$4, Ingresos!$D$9:$D$3900, B20)</f>
        <v>0</v>
      </c>
      <c r="D20" s="2">
        <f>SUMIFS(Ingresos!$J$9:$J$3900, Ingresos!$L$9:$L$3900, $D$3, Ingresos!$M$9:$M$3900, $D$4, Ingresos!$D$9:$D$3900, B20)</f>
        <v>0</v>
      </c>
      <c r="E20" s="2">
        <f>SUMIFS(Ingresos!$J$9:$J$3900, Ingresos!$L$9:$L$3900, $E$3, Ingresos!$M$9:$M$3900, $E$4, Ingresos!$D$9:$D$3900, B20)</f>
        <v>0</v>
      </c>
      <c r="F20" s="2">
        <f>SUMIFS(Ingresos!$J$9:$J$3900, Ingresos!$L$9:$L$3900, $F$3, Ingresos!$M$9:$M$3900, $F$4, Ingresos!$D$9:$D$3900, B20)</f>
        <v>0</v>
      </c>
      <c r="G20" s="2">
        <f>SUMIFS(Ingresos!$J$9:$J$3900, Ingresos!$L$9:$L$3900, $G$3, Ingresos!$M$9:$M$3900, $G$4, Ingresos!$D$9:$D$3900, B20)</f>
        <v>0</v>
      </c>
      <c r="H20" s="2">
        <f>SUMIFS(Ingresos!$J$9:$J$3900, Ingresos!$L$9:$L$3900, $H$3, Ingresos!$M$9:$M$3900, $H$4, Ingresos!$D$9:$D$3900, B20)</f>
        <v>0</v>
      </c>
      <c r="I20" s="2">
        <f>SUMIFS(Ingresos!$J$9:$J$3900, Ingresos!$L$9:$L$3900, $I$3, Ingresos!$M$9:$M$3900, $I$4, Ingresos!$D$9:$D$3900, B20)</f>
        <v>0</v>
      </c>
      <c r="J20" s="2">
        <f>SUMIFS(Ingresos!$J$9:$J$3900, Ingresos!$L$9:$L$3900, $J$3, Ingresos!$M$9:$M$3900, $J$4, Ingresos!$D$9:$D$3900, B20)</f>
        <v>0</v>
      </c>
      <c r="K20" s="2">
        <f>SUMIFS(Ingresos!$J$9:$J$3900, Ingresos!$L$9:$L$3900, $K$3, Ingresos!$M$9:$M$3900, $K$4, Ingresos!$D$9:$D$3900, B20)</f>
        <v>0</v>
      </c>
      <c r="L20" s="2">
        <f>SUMIFS(Ingresos!$J$9:$J$3900, Ingresos!$L$9:$L$3900, $L$3, Ingresos!$M$9:$M$3900, $L$4, Ingresos!$D$9:$D$3900, B20)</f>
        <v>0</v>
      </c>
      <c r="M20" s="2">
        <f>SUMIFS(Ingresos!$J$9:$J$3900, Ingresos!$L$9:$L$3900, $M$3, Ingresos!$M$9:$M$3900, $M$4, Ingresos!$D$9:$D$3900, B20)</f>
        <v>0</v>
      </c>
      <c r="N20" s="2">
        <f>SUMIFS(Ingresos!$J$9:$J$3900, Ingresos!$L$9:$L$3900, $N$3, Ingresos!$M$9:$M$3900, $N$4, Ingresos!$D$9:$D$3900, B20)</f>
        <v>0</v>
      </c>
      <c r="O20" s="2">
        <f t="shared" si="6"/>
        <v>0</v>
      </c>
      <c r="Q20" s="2" t="e">
        <f>#REF!</f>
        <v>#REF!</v>
      </c>
      <c r="R20" s="2">
        <f>SUMIFS(Gastos!$J$9:$J$4091, Gastos!$L$9:$L$4091, $R$3, Gastos!$M$9:$M$4091, $R$4, Gastos!$D$9:$D$4091, Q20)</f>
        <v>0</v>
      </c>
      <c r="S20" s="2">
        <f>SUMIFS(Gastos!$J$9:$J$4091, Gastos!$L$9:$L$4091, $S$3, Gastos!$M$9:$M$4091, $S$4, Gastos!$D$9:$D$4091, Q20)</f>
        <v>0</v>
      </c>
      <c r="T20" s="2">
        <f>SUMIFS(Gastos!$J$9:$J$4091, Gastos!$L$9:$L$4091, $T$3, Gastos!$M$9:$M$4091, $T$4, Gastos!$D$9:$D$4091, Q20)</f>
        <v>0</v>
      </c>
      <c r="U20" s="2">
        <f>SUMIFS(Gastos!$J$9:$J$4091, Gastos!$L$9:$L$4091, $U$3, Gastos!$M$9:$M$4091, $U$4, Gastos!$D$9:$D$4091, Q20)</f>
        <v>0</v>
      </c>
      <c r="V20" s="2">
        <f>SUMIFS(Gastos!$J$9:$J$4091, Gastos!$L$9:$L$4091, $V$3, Gastos!$M$9:$M$4091, $V$4, Gastos!$D$9:$D$4091, Q20)</f>
        <v>0</v>
      </c>
      <c r="W20" s="2">
        <f>SUMIFS(Gastos!$J$9:$J$4091, Gastos!$L$9:$L$4091, $W$3, Gastos!$M$9:$M$4091, $W$4, Gastos!$D$9:$D$4091, Q20)</f>
        <v>0</v>
      </c>
      <c r="X20" s="2">
        <f>SUMIFS(Gastos!$J$9:$J$4091, Gastos!$L$9:$L$4091, $X$3, Gastos!$M$9:$M$4091, $X$4, Gastos!$D$9:$D$4091, Q20)</f>
        <v>0</v>
      </c>
      <c r="Y20" s="2">
        <f>SUMIFS(Gastos!$J$9:$J$4091, Gastos!$L$9:$L$4091, $Y$3, Gastos!$M$9:$M$4091, $Y$4, Gastos!$D$9:$D$4091, Q20)</f>
        <v>0</v>
      </c>
      <c r="Z20" s="2">
        <f>SUMIFS(Gastos!$J$9:$J$4091, Gastos!$L$9:$L$4091, $Z$3, Gastos!$M$9:$M$4091, $Z$4, Gastos!$D$9:$D$4091, Q20)</f>
        <v>0</v>
      </c>
      <c r="AA20" s="2">
        <f>SUMIFS(Gastos!$J$9:$J$4091, Gastos!$L$9:$L$4091, $AA$3, Gastos!$M$9:$M$4091, $AA$4, Gastos!$D$9:$D$4091, Q20)</f>
        <v>0</v>
      </c>
      <c r="AB20" s="2">
        <f>SUMIFS(Gastos!$J$9:$J$4091, Gastos!$L$9:$L$4091, $AB$3, Gastos!$M$9:$M$4091, $AB$4, Gastos!$D$9:$D$4091, Q20)</f>
        <v>0</v>
      </c>
      <c r="AC20" s="2">
        <f>SUMIFS(Gastos!$J$9:$J$4091, Gastos!$L$9:$L$4091, $AC$3, Gastos!$M$9:$M$4091, $AC$4, Gastos!$D$9:$D$4091, Q20)</f>
        <v>0</v>
      </c>
      <c r="AD20" s="2">
        <f t="shared" si="7"/>
        <v>0</v>
      </c>
      <c r="AK20" s="19" t="e">
        <f>#REF!</f>
        <v>#REF!</v>
      </c>
      <c r="AL20" s="2" t="e">
        <f>#REF!</f>
        <v>#REF!</v>
      </c>
      <c r="AM20" s="2" t="e">
        <f>#REF!</f>
        <v>#REF!</v>
      </c>
      <c r="AN20" s="2" t="e">
        <f t="shared" si="10"/>
        <v>#REF!</v>
      </c>
      <c r="AO20" s="2" t="e">
        <f t="shared" si="11"/>
        <v>#REF!</v>
      </c>
      <c r="AP20" s="2" t="e">
        <f t="shared" si="12"/>
        <v>#REF!</v>
      </c>
    </row>
    <row r="21" spans="2:42">
      <c r="B21" s="2" t="e">
        <f>#REF!</f>
        <v>#REF!</v>
      </c>
      <c r="C21" s="2">
        <f>SUMIFS(Ingresos!$J$9:$J$3900, Ingresos!$L$9:$L$3900, $C$3, Ingresos!$M$9:$M$3900, $C$4, Ingresos!$D$9:$D$3900, B21)</f>
        <v>0</v>
      </c>
      <c r="D21" s="2">
        <f>SUMIFS(Ingresos!$J$9:$J$3900, Ingresos!$L$9:$L$3900, $D$3, Ingresos!$M$9:$M$3900, $D$4, Ingresos!$D$9:$D$3900, B21)</f>
        <v>0</v>
      </c>
      <c r="E21" s="2">
        <f>SUMIFS(Ingresos!$J$9:$J$3900, Ingresos!$L$9:$L$3900, $E$3, Ingresos!$M$9:$M$3900, $E$4, Ingresos!$D$9:$D$3900, B21)</f>
        <v>0</v>
      </c>
      <c r="F21" s="2">
        <f>SUMIFS(Ingresos!$J$9:$J$3900, Ingresos!$L$9:$L$3900, $F$3, Ingresos!$M$9:$M$3900, $F$4, Ingresos!$D$9:$D$3900, B21)</f>
        <v>0</v>
      </c>
      <c r="G21" s="2">
        <f>SUMIFS(Ingresos!$J$9:$J$3900, Ingresos!$L$9:$L$3900, $G$3, Ingresos!$M$9:$M$3900, $G$4, Ingresos!$D$9:$D$3900, B21)</f>
        <v>0</v>
      </c>
      <c r="H21" s="2">
        <f>SUMIFS(Ingresos!$J$9:$J$3900, Ingresos!$L$9:$L$3900, $H$3, Ingresos!$M$9:$M$3900, $H$4, Ingresos!$D$9:$D$3900, B21)</f>
        <v>0</v>
      </c>
      <c r="I21" s="2">
        <f>SUMIFS(Ingresos!$J$9:$J$3900, Ingresos!$L$9:$L$3900, $I$3, Ingresos!$M$9:$M$3900, $I$4, Ingresos!$D$9:$D$3900, B21)</f>
        <v>0</v>
      </c>
      <c r="J21" s="2">
        <f>SUMIFS(Ingresos!$J$9:$J$3900, Ingresos!$L$9:$L$3900, $J$3, Ingresos!$M$9:$M$3900, $J$4, Ingresos!$D$9:$D$3900, B21)</f>
        <v>0</v>
      </c>
      <c r="K21" s="2">
        <f>SUMIFS(Ingresos!$J$9:$J$3900, Ingresos!$L$9:$L$3900, $K$3, Ingresos!$M$9:$M$3900, $K$4, Ingresos!$D$9:$D$3900, B21)</f>
        <v>0</v>
      </c>
      <c r="L21" s="2">
        <f>SUMIFS(Ingresos!$J$9:$J$3900, Ingresos!$L$9:$L$3900, $L$3, Ingresos!$M$9:$M$3900, $L$4, Ingresos!$D$9:$D$3900, B21)</f>
        <v>0</v>
      </c>
      <c r="M21" s="2">
        <f>SUMIFS(Ingresos!$J$9:$J$3900, Ingresos!$L$9:$L$3900, $M$3, Ingresos!$M$9:$M$3900, $M$4, Ingresos!$D$9:$D$3900, B21)</f>
        <v>0</v>
      </c>
      <c r="N21" s="2">
        <f>SUMIFS(Ingresos!$J$9:$J$3900, Ingresos!$L$9:$L$3900, $N$3, Ingresos!$M$9:$M$3900, $N$4, Ingresos!$D$9:$D$3900, B21)</f>
        <v>0</v>
      </c>
      <c r="O21" s="2">
        <f t="shared" si="6"/>
        <v>0</v>
      </c>
      <c r="Q21" s="2" t="e">
        <f>#REF!</f>
        <v>#REF!</v>
      </c>
      <c r="R21" s="2">
        <f>SUMIFS(Gastos!$J$9:$J$4091, Gastos!$L$9:$L$4091, $R$3, Gastos!$M$9:$M$4091, $R$4, Gastos!$D$9:$D$4091, Q21)</f>
        <v>0</v>
      </c>
      <c r="S21" s="2">
        <f>SUMIFS(Gastos!$J$9:$J$4091, Gastos!$L$9:$L$4091, $S$3, Gastos!$M$9:$M$4091, $S$4, Gastos!$D$9:$D$4091, Q21)</f>
        <v>0</v>
      </c>
      <c r="T21" s="2">
        <f>SUMIFS(Gastos!$J$9:$J$4091, Gastos!$L$9:$L$4091, $T$3, Gastos!$M$9:$M$4091, $T$4, Gastos!$D$9:$D$4091, Q21)</f>
        <v>0</v>
      </c>
      <c r="U21" s="2">
        <f>SUMIFS(Gastos!$J$9:$J$4091, Gastos!$L$9:$L$4091, $U$3, Gastos!$M$9:$M$4091, $U$4, Gastos!$D$9:$D$4091, Q21)</f>
        <v>0</v>
      </c>
      <c r="V21" s="2">
        <f>SUMIFS(Gastos!$J$9:$J$4091, Gastos!$L$9:$L$4091, $V$3, Gastos!$M$9:$M$4091, $V$4, Gastos!$D$9:$D$4091, Q21)</f>
        <v>0</v>
      </c>
      <c r="W21" s="2">
        <f>SUMIFS(Gastos!$J$9:$J$4091, Gastos!$L$9:$L$4091, $W$3, Gastos!$M$9:$M$4091, $W$4, Gastos!$D$9:$D$4091, Q21)</f>
        <v>0</v>
      </c>
      <c r="X21" s="2">
        <f>SUMIFS(Gastos!$J$9:$J$4091, Gastos!$L$9:$L$4091, $X$3, Gastos!$M$9:$M$4091, $X$4, Gastos!$D$9:$D$4091, Q21)</f>
        <v>0</v>
      </c>
      <c r="Y21" s="2">
        <f>SUMIFS(Gastos!$J$9:$J$4091, Gastos!$L$9:$L$4091, $Y$3, Gastos!$M$9:$M$4091, $Y$4, Gastos!$D$9:$D$4091, Q21)</f>
        <v>0</v>
      </c>
      <c r="Z21" s="2">
        <f>SUMIFS(Gastos!$J$9:$J$4091, Gastos!$L$9:$L$4091, $Z$3, Gastos!$M$9:$M$4091, $Z$4, Gastos!$D$9:$D$4091, Q21)</f>
        <v>0</v>
      </c>
      <c r="AA21" s="2">
        <f>SUMIFS(Gastos!$J$9:$J$4091, Gastos!$L$9:$L$4091, $AA$3, Gastos!$M$9:$M$4091, $AA$4, Gastos!$D$9:$D$4091, Q21)</f>
        <v>0</v>
      </c>
      <c r="AB21" s="2">
        <f>SUMIFS(Gastos!$J$9:$J$4091, Gastos!$L$9:$L$4091, $AB$3, Gastos!$M$9:$M$4091, $AB$4, Gastos!$D$9:$D$4091, Q21)</f>
        <v>0</v>
      </c>
      <c r="AC21" s="2">
        <f>SUMIFS(Gastos!$J$9:$J$4091, Gastos!$L$9:$L$4091, $AC$3, Gastos!$M$9:$M$4091, $AC$4, Gastos!$D$9:$D$4091, Q21)</f>
        <v>0</v>
      </c>
      <c r="AD21" s="2">
        <f t="shared" si="7"/>
        <v>0</v>
      </c>
      <c r="AK21" s="19" t="e">
        <f>#REF!</f>
        <v>#REF!</v>
      </c>
      <c r="AL21" s="2" t="e">
        <f>#REF!</f>
        <v>#REF!</v>
      </c>
      <c r="AM21" s="2" t="e">
        <f>#REF!</f>
        <v>#REF!</v>
      </c>
      <c r="AN21" s="2" t="e">
        <f t="shared" si="10"/>
        <v>#REF!</v>
      </c>
      <c r="AO21" s="2" t="e">
        <f t="shared" si="11"/>
        <v>#REF!</v>
      </c>
      <c r="AP21" s="2" t="e">
        <f t="shared" si="12"/>
        <v>#REF!</v>
      </c>
    </row>
    <row r="22" spans="2:42">
      <c r="B22" s="2" t="e">
        <f>#REF!</f>
        <v>#REF!</v>
      </c>
      <c r="C22" s="2">
        <f>SUMIFS(Ingresos!$J$9:$J$3900, Ingresos!$L$9:$L$3900, $C$3, Ingresos!$M$9:$M$3900, $C$4, Ingresos!$D$9:$D$3900, B22)</f>
        <v>0</v>
      </c>
      <c r="D22" s="2">
        <f>SUMIFS(Ingresos!$J$9:$J$3900, Ingresos!$L$9:$L$3900, $D$3, Ingresos!$M$9:$M$3900, $D$4, Ingresos!$D$9:$D$3900, B22)</f>
        <v>0</v>
      </c>
      <c r="E22" s="2">
        <f>SUMIFS(Ingresos!$J$9:$J$3900, Ingresos!$L$9:$L$3900, $E$3, Ingresos!$M$9:$M$3900, $E$4, Ingresos!$D$9:$D$3900, B22)</f>
        <v>0</v>
      </c>
      <c r="F22" s="2">
        <f>SUMIFS(Ingresos!$J$9:$J$3900, Ingresos!$L$9:$L$3900, $F$3, Ingresos!$M$9:$M$3900, $F$4, Ingresos!$D$9:$D$3900, B22)</f>
        <v>0</v>
      </c>
      <c r="G22" s="2">
        <f>SUMIFS(Ingresos!$J$9:$J$3900, Ingresos!$L$9:$L$3900, $G$3, Ingresos!$M$9:$M$3900, $G$4, Ingresos!$D$9:$D$3900, B22)</f>
        <v>0</v>
      </c>
      <c r="H22" s="2">
        <f>SUMIFS(Ingresos!$J$9:$J$3900, Ingresos!$L$9:$L$3900, $H$3, Ingresos!$M$9:$M$3900, $H$4, Ingresos!$D$9:$D$3900, B22)</f>
        <v>0</v>
      </c>
      <c r="I22" s="2">
        <f>SUMIFS(Ingresos!$J$9:$J$3900, Ingresos!$L$9:$L$3900, $I$3, Ingresos!$M$9:$M$3900, $I$4, Ingresos!$D$9:$D$3900, B22)</f>
        <v>0</v>
      </c>
      <c r="J22" s="2">
        <f>SUMIFS(Ingresos!$J$9:$J$3900, Ingresos!$L$9:$L$3900, $J$3, Ingresos!$M$9:$M$3900, $J$4, Ingresos!$D$9:$D$3900, B22)</f>
        <v>0</v>
      </c>
      <c r="K22" s="2">
        <f>SUMIFS(Ingresos!$J$9:$J$3900, Ingresos!$L$9:$L$3900, $K$3, Ingresos!$M$9:$M$3900, $K$4, Ingresos!$D$9:$D$3900, B22)</f>
        <v>0</v>
      </c>
      <c r="L22" s="2">
        <f>SUMIFS(Ingresos!$J$9:$J$3900, Ingresos!$L$9:$L$3900, $L$3, Ingresos!$M$9:$M$3900, $L$4, Ingresos!$D$9:$D$3900, B22)</f>
        <v>0</v>
      </c>
      <c r="M22" s="2">
        <f>SUMIFS(Ingresos!$J$9:$J$3900, Ingresos!$L$9:$L$3900, $M$3, Ingresos!$M$9:$M$3900, $M$4, Ingresos!$D$9:$D$3900, B22)</f>
        <v>0</v>
      </c>
      <c r="N22" s="2">
        <f>SUMIFS(Ingresos!$J$9:$J$3900, Ingresos!$L$9:$L$3900, $N$3, Ingresos!$M$9:$M$3900, $N$4, Ingresos!$D$9:$D$3900, B22)</f>
        <v>0</v>
      </c>
      <c r="O22" s="2">
        <f t="shared" si="6"/>
        <v>0</v>
      </c>
      <c r="Q22" s="2" t="e">
        <f>#REF!</f>
        <v>#REF!</v>
      </c>
      <c r="R22" s="2">
        <f>SUMIFS(Gastos!$J$9:$J$4091, Gastos!$L$9:$L$4091, $R$3, Gastos!$M$9:$M$4091, $R$4, Gastos!$D$9:$D$4091, Q22)</f>
        <v>0</v>
      </c>
      <c r="S22" s="2">
        <f>SUMIFS(Gastos!$J$9:$J$4091, Gastos!$L$9:$L$4091, $S$3, Gastos!$M$9:$M$4091, $S$4, Gastos!$D$9:$D$4091, Q22)</f>
        <v>0</v>
      </c>
      <c r="T22" s="2">
        <f>SUMIFS(Gastos!$J$9:$J$4091, Gastos!$L$9:$L$4091, $T$3, Gastos!$M$9:$M$4091, $T$4, Gastos!$D$9:$D$4091, Q22)</f>
        <v>0</v>
      </c>
      <c r="U22" s="2">
        <f>SUMIFS(Gastos!$J$9:$J$4091, Gastos!$L$9:$L$4091, $U$3, Gastos!$M$9:$M$4091, $U$4, Gastos!$D$9:$D$4091, Q22)</f>
        <v>0</v>
      </c>
      <c r="V22" s="2">
        <f>SUMIFS(Gastos!$J$9:$J$4091, Gastos!$L$9:$L$4091, $V$3, Gastos!$M$9:$M$4091, $V$4, Gastos!$D$9:$D$4091, Q22)</f>
        <v>0</v>
      </c>
      <c r="W22" s="2">
        <f>SUMIFS(Gastos!$J$9:$J$4091, Gastos!$L$9:$L$4091, $W$3, Gastos!$M$9:$M$4091, $W$4, Gastos!$D$9:$D$4091, Q22)</f>
        <v>0</v>
      </c>
      <c r="X22" s="2">
        <f>SUMIFS(Gastos!$J$9:$J$4091, Gastos!$L$9:$L$4091, $X$3, Gastos!$M$9:$M$4091, $X$4, Gastos!$D$9:$D$4091, Q22)</f>
        <v>0</v>
      </c>
      <c r="Y22" s="2">
        <f>SUMIFS(Gastos!$J$9:$J$4091, Gastos!$L$9:$L$4091, $Y$3, Gastos!$M$9:$M$4091, $Y$4, Gastos!$D$9:$D$4091, Q22)</f>
        <v>0</v>
      </c>
      <c r="Z22" s="2">
        <f>SUMIFS(Gastos!$J$9:$J$4091, Gastos!$L$9:$L$4091, $Z$3, Gastos!$M$9:$M$4091, $Z$4, Gastos!$D$9:$D$4091, Q22)</f>
        <v>0</v>
      </c>
      <c r="AA22" s="2">
        <f>SUMIFS(Gastos!$J$9:$J$4091, Gastos!$L$9:$L$4091, $AA$3, Gastos!$M$9:$M$4091, $AA$4, Gastos!$D$9:$D$4091, Q22)</f>
        <v>0</v>
      </c>
      <c r="AB22" s="2">
        <f>SUMIFS(Gastos!$J$9:$J$4091, Gastos!$L$9:$L$4091, $AB$3, Gastos!$M$9:$M$4091, $AB$4, Gastos!$D$9:$D$4091, Q22)</f>
        <v>0</v>
      </c>
      <c r="AC22" s="2">
        <f>SUMIFS(Gastos!$J$9:$J$4091, Gastos!$L$9:$L$4091, $AC$3, Gastos!$M$9:$M$4091, $AC$4, Gastos!$D$9:$D$4091, Q22)</f>
        <v>0</v>
      </c>
      <c r="AD22" s="2">
        <f t="shared" si="7"/>
        <v>0</v>
      </c>
      <c r="AK22" s="19" t="e">
        <f>#REF!</f>
        <v>#REF!</v>
      </c>
      <c r="AL22" s="2" t="e">
        <f>#REF!</f>
        <v>#REF!</v>
      </c>
      <c r="AM22" s="2" t="e">
        <f>#REF!</f>
        <v>#REF!</v>
      </c>
      <c r="AN22" s="2" t="e">
        <f t="shared" si="10"/>
        <v>#REF!</v>
      </c>
      <c r="AO22" s="2" t="e">
        <f t="shared" si="11"/>
        <v>#REF!</v>
      </c>
      <c r="AP22" s="2" t="e">
        <f t="shared" si="12"/>
        <v>#REF!</v>
      </c>
    </row>
    <row r="23" spans="2:42">
      <c r="B23" s="2" t="e">
        <f>#REF!</f>
        <v>#REF!</v>
      </c>
      <c r="C23" s="2">
        <f>SUMIFS(Ingresos!$J$9:$J$3900, Ingresos!$L$9:$L$3900, $C$3, Ingresos!$M$9:$M$3900, $C$4, Ingresos!$D$9:$D$3900, B23)</f>
        <v>0</v>
      </c>
      <c r="D23" s="2">
        <f>SUMIFS(Ingresos!$J$9:$J$3900, Ingresos!$L$9:$L$3900, $D$3, Ingresos!$M$9:$M$3900, $D$4, Ingresos!$D$9:$D$3900, B23)</f>
        <v>0</v>
      </c>
      <c r="E23" s="2">
        <f>SUMIFS(Ingresos!$J$9:$J$3900, Ingresos!$L$9:$L$3900, $E$3, Ingresos!$M$9:$M$3900, $E$4, Ingresos!$D$9:$D$3900, B23)</f>
        <v>0</v>
      </c>
      <c r="F23" s="2">
        <f>SUMIFS(Ingresos!$J$9:$J$3900, Ingresos!$L$9:$L$3900, $F$3, Ingresos!$M$9:$M$3900, $F$4, Ingresos!$D$9:$D$3900, B23)</f>
        <v>0</v>
      </c>
      <c r="G23" s="2">
        <f>SUMIFS(Ingresos!$J$9:$J$3900, Ingresos!$L$9:$L$3900, $G$3, Ingresos!$M$9:$M$3900, $G$4, Ingresos!$D$9:$D$3900, B23)</f>
        <v>0</v>
      </c>
      <c r="H23" s="2">
        <f>SUMIFS(Ingresos!$J$9:$J$3900, Ingresos!$L$9:$L$3900, $H$3, Ingresos!$M$9:$M$3900, $H$4, Ingresos!$D$9:$D$3900, B23)</f>
        <v>0</v>
      </c>
      <c r="I23" s="2">
        <f>SUMIFS(Ingresos!$J$9:$J$3900, Ingresos!$L$9:$L$3900, $I$3, Ingresos!$M$9:$M$3900, $I$4, Ingresos!$D$9:$D$3900, B23)</f>
        <v>0</v>
      </c>
      <c r="J23" s="2">
        <f>SUMIFS(Ingresos!$J$9:$J$3900, Ingresos!$L$9:$L$3900, $J$3, Ingresos!$M$9:$M$3900, $J$4, Ingresos!$D$9:$D$3900, B23)</f>
        <v>0</v>
      </c>
      <c r="K23" s="2">
        <f>SUMIFS(Ingresos!$J$9:$J$3900, Ingresos!$L$9:$L$3900, $K$3, Ingresos!$M$9:$M$3900, $K$4, Ingresos!$D$9:$D$3900, B23)</f>
        <v>0</v>
      </c>
      <c r="L23" s="2">
        <f>SUMIFS(Ingresos!$J$9:$J$3900, Ingresos!$L$9:$L$3900, $L$3, Ingresos!$M$9:$M$3900, $L$4, Ingresos!$D$9:$D$3900, B23)</f>
        <v>0</v>
      </c>
      <c r="M23" s="2">
        <f>SUMIFS(Ingresos!$J$9:$J$3900, Ingresos!$L$9:$L$3900, $M$3, Ingresos!$M$9:$M$3900, $M$4, Ingresos!$D$9:$D$3900, B23)</f>
        <v>0</v>
      </c>
      <c r="N23" s="2">
        <f>SUMIFS(Ingresos!$J$9:$J$3900, Ingresos!$L$9:$L$3900, $N$3, Ingresos!$M$9:$M$3900, $N$4, Ingresos!$D$9:$D$3900, B23)</f>
        <v>0</v>
      </c>
      <c r="O23" s="2">
        <f t="shared" si="6"/>
        <v>0</v>
      </c>
      <c r="Q23" s="2" t="e">
        <f>#REF!</f>
        <v>#REF!</v>
      </c>
      <c r="R23" s="2">
        <f>SUMIFS(Gastos!$J$9:$J$4091, Gastos!$L$9:$L$4091, $R$3, Gastos!$M$9:$M$4091, $R$4, Gastos!$D$9:$D$4091, Q23)</f>
        <v>0</v>
      </c>
      <c r="S23" s="2">
        <f>SUMIFS(Gastos!$J$9:$J$4091, Gastos!$L$9:$L$4091, $S$3, Gastos!$M$9:$M$4091, $S$4, Gastos!$D$9:$D$4091, Q23)</f>
        <v>0</v>
      </c>
      <c r="T23" s="2">
        <f>SUMIFS(Gastos!$J$9:$J$4091, Gastos!$L$9:$L$4091, $T$3, Gastos!$M$9:$M$4091, $T$4, Gastos!$D$9:$D$4091, Q23)</f>
        <v>0</v>
      </c>
      <c r="U23" s="2">
        <f>SUMIFS(Gastos!$J$9:$J$4091, Gastos!$L$9:$L$4091, $U$3, Gastos!$M$9:$M$4091, $U$4, Gastos!$D$9:$D$4091, Q23)</f>
        <v>0</v>
      </c>
      <c r="V23" s="2">
        <f>SUMIFS(Gastos!$J$9:$J$4091, Gastos!$L$9:$L$4091, $V$3, Gastos!$M$9:$M$4091, $V$4, Gastos!$D$9:$D$4091, Q23)</f>
        <v>0</v>
      </c>
      <c r="W23" s="2">
        <f>SUMIFS(Gastos!$J$9:$J$4091, Gastos!$L$9:$L$4091, $W$3, Gastos!$M$9:$M$4091, $W$4, Gastos!$D$9:$D$4091, Q23)</f>
        <v>0</v>
      </c>
      <c r="X23" s="2">
        <f>SUMIFS(Gastos!$J$9:$J$4091, Gastos!$L$9:$L$4091, $X$3, Gastos!$M$9:$M$4091, $X$4, Gastos!$D$9:$D$4091, Q23)</f>
        <v>0</v>
      </c>
      <c r="Y23" s="2">
        <f>SUMIFS(Gastos!$J$9:$J$4091, Gastos!$L$9:$L$4091, $Y$3, Gastos!$M$9:$M$4091, $Y$4, Gastos!$D$9:$D$4091, Q23)</f>
        <v>0</v>
      </c>
      <c r="Z23" s="2">
        <f>SUMIFS(Gastos!$J$9:$J$4091, Gastos!$L$9:$L$4091, $Z$3, Gastos!$M$9:$M$4091, $Z$4, Gastos!$D$9:$D$4091, Q23)</f>
        <v>0</v>
      </c>
      <c r="AA23" s="2">
        <f>SUMIFS(Gastos!$J$9:$J$4091, Gastos!$L$9:$L$4091, $AA$3, Gastos!$M$9:$M$4091, $AA$4, Gastos!$D$9:$D$4091, Q23)</f>
        <v>0</v>
      </c>
      <c r="AB23" s="2">
        <f>SUMIFS(Gastos!$J$9:$J$4091, Gastos!$L$9:$L$4091, $AB$3, Gastos!$M$9:$M$4091, $AB$4, Gastos!$D$9:$D$4091, Q23)</f>
        <v>0</v>
      </c>
      <c r="AC23" s="2">
        <f>SUMIFS(Gastos!$J$9:$J$4091, Gastos!$L$9:$L$4091, $AC$3, Gastos!$M$9:$M$4091, $AC$4, Gastos!$D$9:$D$4091, Q23)</f>
        <v>0</v>
      </c>
      <c r="AD23" s="2">
        <f t="shared" si="7"/>
        <v>0</v>
      </c>
      <c r="AK23" s="19" t="e">
        <f>#REF!</f>
        <v>#REF!</v>
      </c>
      <c r="AL23" s="2" t="e">
        <f>#REF!</f>
        <v>#REF!</v>
      </c>
      <c r="AM23" s="2" t="e">
        <f>#REF!</f>
        <v>#REF!</v>
      </c>
      <c r="AN23" s="2" t="e">
        <f t="shared" si="10"/>
        <v>#REF!</v>
      </c>
      <c r="AO23" s="2" t="e">
        <f t="shared" si="11"/>
        <v>#REF!</v>
      </c>
      <c r="AP23" s="2" t="e">
        <f t="shared" si="12"/>
        <v>#REF!</v>
      </c>
    </row>
    <row r="24" spans="2:42">
      <c r="B24" s="2" t="e">
        <f>#REF!</f>
        <v>#REF!</v>
      </c>
      <c r="C24" s="2">
        <f>SUMIFS(Ingresos!$J$9:$J$3900, Ingresos!$L$9:$L$3900, $C$3, Ingresos!$M$9:$M$3900, $C$4, Ingresos!$D$9:$D$3900, B24)</f>
        <v>0</v>
      </c>
      <c r="D24" s="2">
        <f>SUMIFS(Ingresos!$J$9:$J$3900, Ingresos!$L$9:$L$3900, $D$3, Ingresos!$M$9:$M$3900, $D$4, Ingresos!$D$9:$D$3900, B24)</f>
        <v>0</v>
      </c>
      <c r="E24" s="2">
        <f>SUMIFS(Ingresos!$J$9:$J$3900, Ingresos!$L$9:$L$3900, $E$3, Ingresos!$M$9:$M$3900, $E$4, Ingresos!$D$9:$D$3900, B24)</f>
        <v>0</v>
      </c>
      <c r="F24" s="2">
        <f>SUMIFS(Ingresos!$J$9:$J$3900, Ingresos!$L$9:$L$3900, $F$3, Ingresos!$M$9:$M$3900, $F$4, Ingresos!$D$9:$D$3900, B24)</f>
        <v>0</v>
      </c>
      <c r="G24" s="2">
        <f>SUMIFS(Ingresos!$J$9:$J$3900, Ingresos!$L$9:$L$3900, $G$3, Ingresos!$M$9:$M$3900, $G$4, Ingresos!$D$9:$D$3900, B24)</f>
        <v>0</v>
      </c>
      <c r="H24" s="2">
        <f>SUMIFS(Ingresos!$J$9:$J$3900, Ingresos!$L$9:$L$3900, $H$3, Ingresos!$M$9:$M$3900, $H$4, Ingresos!$D$9:$D$3900, B24)</f>
        <v>0</v>
      </c>
      <c r="I24" s="2">
        <f>SUMIFS(Ingresos!$J$9:$J$3900, Ingresos!$L$9:$L$3900, $I$3, Ingresos!$M$9:$M$3900, $I$4, Ingresos!$D$9:$D$3900, B24)</f>
        <v>0</v>
      </c>
      <c r="J24" s="2">
        <f>SUMIFS(Ingresos!$J$9:$J$3900, Ingresos!$L$9:$L$3900, $J$3, Ingresos!$M$9:$M$3900, $J$4, Ingresos!$D$9:$D$3900, B24)</f>
        <v>0</v>
      </c>
      <c r="K24" s="2">
        <f>SUMIFS(Ingresos!$J$9:$J$3900, Ingresos!$L$9:$L$3900, $K$3, Ingresos!$M$9:$M$3900, $K$4, Ingresos!$D$9:$D$3900, B24)</f>
        <v>0</v>
      </c>
      <c r="L24" s="2">
        <f>SUMIFS(Ingresos!$J$9:$J$3900, Ingresos!$L$9:$L$3900, $L$3, Ingresos!$M$9:$M$3900, $L$4, Ingresos!$D$9:$D$3900, B24)</f>
        <v>0</v>
      </c>
      <c r="M24" s="2">
        <f>SUMIFS(Ingresos!$J$9:$J$3900, Ingresos!$L$9:$L$3900, $M$3, Ingresos!$M$9:$M$3900, $M$4, Ingresos!$D$9:$D$3900, B24)</f>
        <v>0</v>
      </c>
      <c r="N24" s="2">
        <f>SUMIFS(Ingresos!$J$9:$J$3900, Ingresos!$L$9:$L$3900, $N$3, Ingresos!$M$9:$M$3900, $N$4, Ingresos!$D$9:$D$3900, B24)</f>
        <v>0</v>
      </c>
      <c r="O24" s="2">
        <f t="shared" si="6"/>
        <v>0</v>
      </c>
      <c r="Q24" s="2" t="e">
        <f>#REF!</f>
        <v>#REF!</v>
      </c>
      <c r="R24" s="2">
        <f>SUMIFS(Gastos!$J$9:$J$4091, Gastos!$L$9:$L$4091, $R$3, Gastos!$M$9:$M$4091, $R$4, Gastos!$D$9:$D$4091, Q24)</f>
        <v>0</v>
      </c>
      <c r="S24" s="2">
        <f>SUMIFS(Gastos!$J$9:$J$4091, Gastos!$L$9:$L$4091, $S$3, Gastos!$M$9:$M$4091, $S$4, Gastos!$D$9:$D$4091, Q24)</f>
        <v>0</v>
      </c>
      <c r="T24" s="2">
        <f>SUMIFS(Gastos!$J$9:$J$4091, Gastos!$L$9:$L$4091, $T$3, Gastos!$M$9:$M$4091, $T$4, Gastos!$D$9:$D$4091, Q24)</f>
        <v>0</v>
      </c>
      <c r="U24" s="2">
        <f>SUMIFS(Gastos!$J$9:$J$4091, Gastos!$L$9:$L$4091, $U$3, Gastos!$M$9:$M$4091, $U$4, Gastos!$D$9:$D$4091, Q24)</f>
        <v>0</v>
      </c>
      <c r="V24" s="2">
        <f>SUMIFS(Gastos!$J$9:$J$4091, Gastos!$L$9:$L$4091, $V$3, Gastos!$M$9:$M$4091, $V$4, Gastos!$D$9:$D$4091, Q24)</f>
        <v>0</v>
      </c>
      <c r="W24" s="2">
        <f>SUMIFS(Gastos!$J$9:$J$4091, Gastos!$L$9:$L$4091, $W$3, Gastos!$M$9:$M$4091, $W$4, Gastos!$D$9:$D$4091, Q24)</f>
        <v>0</v>
      </c>
      <c r="X24" s="2">
        <f>SUMIFS(Gastos!$J$9:$J$4091, Gastos!$L$9:$L$4091, $X$3, Gastos!$M$9:$M$4091, $X$4, Gastos!$D$9:$D$4091, Q24)</f>
        <v>0</v>
      </c>
      <c r="Y24" s="2">
        <f>SUMIFS(Gastos!$J$9:$J$4091, Gastos!$L$9:$L$4091, $Y$3, Gastos!$M$9:$M$4091, $Y$4, Gastos!$D$9:$D$4091, Q24)</f>
        <v>0</v>
      </c>
      <c r="Z24" s="2">
        <f>SUMIFS(Gastos!$J$9:$J$4091, Gastos!$L$9:$L$4091, $Z$3, Gastos!$M$9:$M$4091, $Z$4, Gastos!$D$9:$D$4091, Q24)</f>
        <v>0</v>
      </c>
      <c r="AA24" s="2">
        <f>SUMIFS(Gastos!$J$9:$J$4091, Gastos!$L$9:$L$4091, $AA$3, Gastos!$M$9:$M$4091, $AA$4, Gastos!$D$9:$D$4091, Q24)</f>
        <v>0</v>
      </c>
      <c r="AB24" s="2">
        <f>SUMIFS(Gastos!$J$9:$J$4091, Gastos!$L$9:$L$4091, $AB$3, Gastos!$M$9:$M$4091, $AB$4, Gastos!$D$9:$D$4091, Q24)</f>
        <v>0</v>
      </c>
      <c r="AC24" s="2">
        <f>SUMIFS(Gastos!$J$9:$J$4091, Gastos!$L$9:$L$4091, $AC$3, Gastos!$M$9:$M$4091, $AC$4, Gastos!$D$9:$D$4091, Q24)</f>
        <v>0</v>
      </c>
      <c r="AD24" s="2">
        <f t="shared" si="7"/>
        <v>0</v>
      </c>
      <c r="AK24" s="19" t="e">
        <f>#REF!</f>
        <v>#REF!</v>
      </c>
      <c r="AL24" s="2" t="e">
        <f>#REF!</f>
        <v>#REF!</v>
      </c>
      <c r="AM24" s="2" t="e">
        <f>#REF!</f>
        <v>#REF!</v>
      </c>
      <c r="AN24" s="2" t="e">
        <f t="shared" si="10"/>
        <v>#REF!</v>
      </c>
      <c r="AO24" s="2" t="e">
        <f t="shared" si="11"/>
        <v>#REF!</v>
      </c>
      <c r="AP24" s="2" t="e">
        <f t="shared" si="12"/>
        <v>#REF!</v>
      </c>
    </row>
    <row r="25" spans="2:42">
      <c r="B25" s="2" t="e">
        <f>#REF!</f>
        <v>#REF!</v>
      </c>
      <c r="C25" s="2">
        <f>SUMIFS(Ingresos!$J$9:$J$3900, Ingresos!$L$9:$L$3900, $C$3, Ingresos!$M$9:$M$3900, $C$4, Ingresos!$D$9:$D$3900, B25)</f>
        <v>0</v>
      </c>
      <c r="D25" s="2">
        <f>SUMIFS(Ingresos!$J$9:$J$3900, Ingresos!$L$9:$L$3900, $D$3, Ingresos!$M$9:$M$3900, $D$4, Ingresos!$D$9:$D$3900, B25)</f>
        <v>0</v>
      </c>
      <c r="E25" s="2">
        <f>SUMIFS(Ingresos!$J$9:$J$3900, Ingresos!$L$9:$L$3900, $E$3, Ingresos!$M$9:$M$3900, $E$4, Ingresos!$D$9:$D$3900, B25)</f>
        <v>0</v>
      </c>
      <c r="F25" s="2">
        <f>SUMIFS(Ingresos!$J$9:$J$3900, Ingresos!$L$9:$L$3900, $F$3, Ingresos!$M$9:$M$3900, $F$4, Ingresos!$D$9:$D$3900, B25)</f>
        <v>0</v>
      </c>
      <c r="G25" s="2">
        <f>SUMIFS(Ingresos!$J$9:$J$3900, Ingresos!$L$9:$L$3900, $G$3, Ingresos!$M$9:$M$3900, $G$4, Ingresos!$D$9:$D$3900, B25)</f>
        <v>0</v>
      </c>
      <c r="H25" s="2">
        <f>SUMIFS(Ingresos!$J$9:$J$3900, Ingresos!$L$9:$L$3900, $H$3, Ingresos!$M$9:$M$3900, $H$4, Ingresos!$D$9:$D$3900, B25)</f>
        <v>0</v>
      </c>
      <c r="I25" s="2">
        <f>SUMIFS(Ingresos!$J$9:$J$3900, Ingresos!$L$9:$L$3900, $I$3, Ingresos!$M$9:$M$3900, $I$4, Ingresos!$D$9:$D$3900, B25)</f>
        <v>0</v>
      </c>
      <c r="J25" s="2">
        <f>SUMIFS(Ingresos!$J$9:$J$3900, Ingresos!$L$9:$L$3900, $J$3, Ingresos!$M$9:$M$3900, $J$4, Ingresos!$D$9:$D$3900, B25)</f>
        <v>0</v>
      </c>
      <c r="K25" s="2">
        <f>SUMIFS(Ingresos!$J$9:$J$3900, Ingresos!$L$9:$L$3900, $K$3, Ingresos!$M$9:$M$3900, $K$4, Ingresos!$D$9:$D$3900, B25)</f>
        <v>0</v>
      </c>
      <c r="L25" s="2">
        <f>SUMIFS(Ingresos!$J$9:$J$3900, Ingresos!$L$9:$L$3900, $L$3, Ingresos!$M$9:$M$3900, $L$4, Ingresos!$D$9:$D$3900, B25)</f>
        <v>0</v>
      </c>
      <c r="M25" s="2">
        <f>SUMIFS(Ingresos!$J$9:$J$3900, Ingresos!$L$9:$L$3900, $M$3, Ingresos!$M$9:$M$3900, $M$4, Ingresos!$D$9:$D$3900, B25)</f>
        <v>0</v>
      </c>
      <c r="N25" s="2">
        <f>SUMIFS(Ingresos!$J$9:$J$3900, Ingresos!$L$9:$L$3900, $N$3, Ingresos!$M$9:$M$3900, $N$4, Ingresos!$D$9:$D$3900, B25)</f>
        <v>0</v>
      </c>
      <c r="O25" s="2">
        <f t="shared" si="6"/>
        <v>0</v>
      </c>
      <c r="Q25" s="2" t="e">
        <f>#REF!</f>
        <v>#REF!</v>
      </c>
      <c r="R25" s="2">
        <f>SUMIFS(Gastos!$J$9:$J$4091, Gastos!$L$9:$L$4091, $R$3, Gastos!$M$9:$M$4091, $R$4, Gastos!$D$9:$D$4091, Q25)</f>
        <v>0</v>
      </c>
      <c r="S25" s="2">
        <f>SUMIFS(Gastos!$J$9:$J$4091, Gastos!$L$9:$L$4091, $S$3, Gastos!$M$9:$M$4091, $S$4, Gastos!$D$9:$D$4091, Q25)</f>
        <v>0</v>
      </c>
      <c r="T25" s="2">
        <f>SUMIFS(Gastos!$J$9:$J$4091, Gastos!$L$9:$L$4091, $T$3, Gastos!$M$9:$M$4091, $T$4, Gastos!$D$9:$D$4091, Q25)</f>
        <v>0</v>
      </c>
      <c r="U25" s="2">
        <f>SUMIFS(Gastos!$J$9:$J$4091, Gastos!$L$9:$L$4091, $U$3, Gastos!$M$9:$M$4091, $U$4, Gastos!$D$9:$D$4091, Q25)</f>
        <v>0</v>
      </c>
      <c r="V25" s="2">
        <f>SUMIFS(Gastos!$J$9:$J$4091, Gastos!$L$9:$L$4091, $V$3, Gastos!$M$9:$M$4091, $V$4, Gastos!$D$9:$D$4091, Q25)</f>
        <v>0</v>
      </c>
      <c r="W25" s="2">
        <f>SUMIFS(Gastos!$J$9:$J$4091, Gastos!$L$9:$L$4091, $W$3, Gastos!$M$9:$M$4091, $W$4, Gastos!$D$9:$D$4091, Q25)</f>
        <v>0</v>
      </c>
      <c r="X25" s="2">
        <f>SUMIFS(Gastos!$J$9:$J$4091, Gastos!$L$9:$L$4091, $X$3, Gastos!$M$9:$M$4091, $X$4, Gastos!$D$9:$D$4091, Q25)</f>
        <v>0</v>
      </c>
      <c r="Y25" s="2">
        <f>SUMIFS(Gastos!$J$9:$J$4091, Gastos!$L$9:$L$4091, $Y$3, Gastos!$M$9:$M$4091, $Y$4, Gastos!$D$9:$D$4091, Q25)</f>
        <v>0</v>
      </c>
      <c r="Z25" s="2">
        <f>SUMIFS(Gastos!$J$9:$J$4091, Gastos!$L$9:$L$4091, $Z$3, Gastos!$M$9:$M$4091, $Z$4, Gastos!$D$9:$D$4091, Q25)</f>
        <v>0</v>
      </c>
      <c r="AA25" s="2">
        <f>SUMIFS(Gastos!$J$9:$J$4091, Gastos!$L$9:$L$4091, $AA$3, Gastos!$M$9:$M$4091, $AA$4, Gastos!$D$9:$D$4091, Q25)</f>
        <v>0</v>
      </c>
      <c r="AB25" s="2">
        <f>SUMIFS(Gastos!$J$9:$J$4091, Gastos!$L$9:$L$4091, $AB$3, Gastos!$M$9:$M$4091, $AB$4, Gastos!$D$9:$D$4091, Q25)</f>
        <v>0</v>
      </c>
      <c r="AC25" s="2">
        <f>SUMIFS(Gastos!$J$9:$J$4091, Gastos!$L$9:$L$4091, $AC$3, Gastos!$M$9:$M$4091, $AC$4, Gastos!$D$9:$D$4091, Q25)</f>
        <v>0</v>
      </c>
      <c r="AD25" s="2">
        <f t="shared" si="7"/>
        <v>0</v>
      </c>
      <c r="AK25" s="19" t="e">
        <f>#REF!</f>
        <v>#REF!</v>
      </c>
      <c r="AL25" s="2" t="e">
        <f>#REF!</f>
        <v>#REF!</v>
      </c>
      <c r="AM25" s="2" t="e">
        <f>#REF!</f>
        <v>#REF!</v>
      </c>
      <c r="AN25" s="2" t="e">
        <f t="shared" si="10"/>
        <v>#REF!</v>
      </c>
      <c r="AO25" s="2" t="e">
        <f t="shared" si="11"/>
        <v>#REF!</v>
      </c>
      <c r="AP25" s="2" t="e">
        <f t="shared" si="12"/>
        <v>#REF!</v>
      </c>
    </row>
    <row r="26" spans="2:42">
      <c r="B26" s="2" t="e">
        <f>#REF!</f>
        <v>#REF!</v>
      </c>
      <c r="C26" s="2">
        <f>SUMIFS(Ingresos!$J$9:$J$3900, Ingresos!$L$9:$L$3900, $C$3, Ingresos!$M$9:$M$3900, $C$4, Ingresos!$D$9:$D$3900, B26)</f>
        <v>0</v>
      </c>
      <c r="D26" s="2">
        <f>SUMIFS(Ingresos!$J$9:$J$3900, Ingresos!$L$9:$L$3900, $D$3, Ingresos!$M$9:$M$3900, $D$4, Ingresos!$D$9:$D$3900, B26)</f>
        <v>0</v>
      </c>
      <c r="E26" s="2">
        <f>SUMIFS(Ingresos!$J$9:$J$3900, Ingresos!$L$9:$L$3900, $E$3, Ingresos!$M$9:$M$3900, $E$4, Ingresos!$D$9:$D$3900, B26)</f>
        <v>0</v>
      </c>
      <c r="F26" s="2">
        <f>SUMIFS(Ingresos!$J$9:$J$3900, Ingresos!$L$9:$L$3900, $F$3, Ingresos!$M$9:$M$3900, $F$4, Ingresos!$D$9:$D$3900, B26)</f>
        <v>0</v>
      </c>
      <c r="G26" s="2">
        <f>SUMIFS(Ingresos!$J$9:$J$3900, Ingresos!$L$9:$L$3900, $G$3, Ingresos!$M$9:$M$3900, $G$4, Ingresos!$D$9:$D$3900, B26)</f>
        <v>0</v>
      </c>
      <c r="H26" s="2">
        <f>SUMIFS(Ingresos!$J$9:$J$3900, Ingresos!$L$9:$L$3900, $H$3, Ingresos!$M$9:$M$3900, $H$4, Ingresos!$D$9:$D$3900, B26)</f>
        <v>0</v>
      </c>
      <c r="I26" s="2">
        <f>SUMIFS(Ingresos!$J$9:$J$3900, Ingresos!$L$9:$L$3900, $I$3, Ingresos!$M$9:$M$3900, $I$4, Ingresos!$D$9:$D$3900, B26)</f>
        <v>0</v>
      </c>
      <c r="J26" s="2">
        <f>SUMIFS(Ingresos!$J$9:$J$3900, Ingresos!$L$9:$L$3900, $J$3, Ingresos!$M$9:$M$3900, $J$4, Ingresos!$D$9:$D$3900, B26)</f>
        <v>0</v>
      </c>
      <c r="K26" s="2">
        <f>SUMIFS(Ingresos!$J$9:$J$3900, Ingresos!$L$9:$L$3900, $K$3, Ingresos!$M$9:$M$3900, $K$4, Ingresos!$D$9:$D$3900, B26)</f>
        <v>0</v>
      </c>
      <c r="L26" s="2">
        <f>SUMIFS(Ingresos!$J$9:$J$3900, Ingresos!$L$9:$L$3900, $L$3, Ingresos!$M$9:$M$3900, $L$4, Ingresos!$D$9:$D$3900, B26)</f>
        <v>0</v>
      </c>
      <c r="M26" s="2">
        <f>SUMIFS(Ingresos!$J$9:$J$3900, Ingresos!$L$9:$L$3900, $M$3, Ingresos!$M$9:$M$3900, $M$4, Ingresos!$D$9:$D$3900, B26)</f>
        <v>0</v>
      </c>
      <c r="N26" s="2">
        <f>SUMIFS(Ingresos!$J$9:$J$3900, Ingresos!$L$9:$L$3900, $N$3, Ingresos!$M$9:$M$3900, $N$4, Ingresos!$D$9:$D$3900, B26)</f>
        <v>0</v>
      </c>
      <c r="O26" s="2">
        <f t="shared" si="6"/>
        <v>0</v>
      </c>
      <c r="Q26" s="2" t="e">
        <f>#REF!</f>
        <v>#REF!</v>
      </c>
      <c r="R26" s="2">
        <f>SUMIFS(Gastos!$J$9:$J$4091, Gastos!$L$9:$L$4091, $R$3, Gastos!$M$9:$M$4091, $R$4, Gastos!$D$9:$D$4091, Q26)</f>
        <v>0</v>
      </c>
      <c r="S26" s="2">
        <f>SUMIFS(Gastos!$J$9:$J$4091, Gastos!$L$9:$L$4091, $S$3, Gastos!$M$9:$M$4091, $S$4, Gastos!$D$9:$D$4091, Q26)</f>
        <v>0</v>
      </c>
      <c r="T26" s="2">
        <f>SUMIFS(Gastos!$J$9:$J$4091, Gastos!$L$9:$L$4091, $T$3, Gastos!$M$9:$M$4091, $T$4, Gastos!$D$9:$D$4091, Q26)</f>
        <v>0</v>
      </c>
      <c r="U26" s="2">
        <f>SUMIFS(Gastos!$J$9:$J$4091, Gastos!$L$9:$L$4091, $U$3, Gastos!$M$9:$M$4091, $U$4, Gastos!$D$9:$D$4091, Q26)</f>
        <v>0</v>
      </c>
      <c r="V26" s="2">
        <f>SUMIFS(Gastos!$J$9:$J$4091, Gastos!$L$9:$L$4091, $V$3, Gastos!$M$9:$M$4091, $V$4, Gastos!$D$9:$D$4091, Q26)</f>
        <v>0</v>
      </c>
      <c r="W26" s="2">
        <f>SUMIFS(Gastos!$J$9:$J$4091, Gastos!$L$9:$L$4091, $W$3, Gastos!$M$9:$M$4091, $W$4, Gastos!$D$9:$D$4091, Q26)</f>
        <v>0</v>
      </c>
      <c r="X26" s="2">
        <f>SUMIFS(Gastos!$J$9:$J$4091, Gastos!$L$9:$L$4091, $X$3, Gastos!$M$9:$M$4091, $X$4, Gastos!$D$9:$D$4091, Q26)</f>
        <v>0</v>
      </c>
      <c r="Y26" s="2">
        <f>SUMIFS(Gastos!$J$9:$J$4091, Gastos!$L$9:$L$4091, $Y$3, Gastos!$M$9:$M$4091, $Y$4, Gastos!$D$9:$D$4091, Q26)</f>
        <v>0</v>
      </c>
      <c r="Z26" s="2">
        <f>SUMIFS(Gastos!$J$9:$J$4091, Gastos!$L$9:$L$4091, $Z$3, Gastos!$M$9:$M$4091, $Z$4, Gastos!$D$9:$D$4091, Q26)</f>
        <v>0</v>
      </c>
      <c r="AA26" s="2">
        <f>SUMIFS(Gastos!$J$9:$J$4091, Gastos!$L$9:$L$4091, $AA$3, Gastos!$M$9:$M$4091, $AA$4, Gastos!$D$9:$D$4091, Q26)</f>
        <v>0</v>
      </c>
      <c r="AB26" s="2">
        <f>SUMIFS(Gastos!$J$9:$J$4091, Gastos!$L$9:$L$4091, $AB$3, Gastos!$M$9:$M$4091, $AB$4, Gastos!$D$9:$D$4091, Q26)</f>
        <v>0</v>
      </c>
      <c r="AC26" s="2">
        <f>SUMIFS(Gastos!$J$9:$J$4091, Gastos!$L$9:$L$4091, $AC$3, Gastos!$M$9:$M$4091, $AC$4, Gastos!$D$9:$D$4091, Q26)</f>
        <v>0</v>
      </c>
      <c r="AD26" s="2">
        <f t="shared" si="7"/>
        <v>0</v>
      </c>
      <c r="AK26" s="19" t="e">
        <f>#REF!</f>
        <v>#REF!</v>
      </c>
      <c r="AL26" s="2" t="e">
        <f>#REF!</f>
        <v>#REF!</v>
      </c>
      <c r="AM26" s="2" t="e">
        <f>#REF!</f>
        <v>#REF!</v>
      </c>
      <c r="AN26" s="2" t="e">
        <f t="shared" si="10"/>
        <v>#REF!</v>
      </c>
      <c r="AO26" s="2" t="e">
        <f>AO25+AL26</f>
        <v>#REF!</v>
      </c>
      <c r="AP26" s="2" t="e">
        <f t="shared" si="12"/>
        <v>#REF!</v>
      </c>
    </row>
    <row r="27" spans="2:42">
      <c r="B27" s="2" t="e">
        <f>#REF!</f>
        <v>#REF!</v>
      </c>
      <c r="C27" s="2">
        <f>SUMIFS(Ingresos!$J$9:$J$3900, Ingresos!$L$9:$L$3900, $C$3, Ingresos!$M$9:$M$3900, $C$4, Ingresos!$D$9:$D$3900, B27)</f>
        <v>0</v>
      </c>
      <c r="D27" s="2">
        <f>SUMIFS(Ingresos!$J$9:$J$3900, Ingresos!$L$9:$L$3900, $D$3, Ingresos!$M$9:$M$3900, $D$4, Ingresos!$D$9:$D$3900, B27)</f>
        <v>0</v>
      </c>
      <c r="E27" s="2">
        <f>SUMIFS(Ingresos!$J$9:$J$3900, Ingresos!$L$9:$L$3900, $E$3, Ingresos!$M$9:$M$3900, $E$4, Ingresos!$D$9:$D$3900, B27)</f>
        <v>0</v>
      </c>
      <c r="F27" s="2">
        <f>SUMIFS(Ingresos!$J$9:$J$3900, Ingresos!$L$9:$L$3900, $F$3, Ingresos!$M$9:$M$3900, $F$4, Ingresos!$D$9:$D$3900, B27)</f>
        <v>0</v>
      </c>
      <c r="G27" s="2">
        <f>SUMIFS(Ingresos!$J$9:$J$3900, Ingresos!$L$9:$L$3900, $G$3, Ingresos!$M$9:$M$3900, $G$4, Ingresos!$D$9:$D$3900, B27)</f>
        <v>0</v>
      </c>
      <c r="H27" s="2">
        <f>SUMIFS(Ingresos!$J$9:$J$3900, Ingresos!$L$9:$L$3900, $H$3, Ingresos!$M$9:$M$3900, $H$4, Ingresos!$D$9:$D$3900, B27)</f>
        <v>0</v>
      </c>
      <c r="I27" s="2">
        <f>SUMIFS(Ingresos!$J$9:$J$3900, Ingresos!$L$9:$L$3900, $I$3, Ingresos!$M$9:$M$3900, $I$4, Ingresos!$D$9:$D$3900, B27)</f>
        <v>0</v>
      </c>
      <c r="J27" s="2">
        <f>SUMIFS(Ingresos!$J$9:$J$3900, Ingresos!$L$9:$L$3900, $J$3, Ingresos!$M$9:$M$3900, $J$4, Ingresos!$D$9:$D$3900, B27)</f>
        <v>0</v>
      </c>
      <c r="K27" s="2">
        <f>SUMIFS(Ingresos!$J$9:$J$3900, Ingresos!$L$9:$L$3900, $K$3, Ingresos!$M$9:$M$3900, $K$4, Ingresos!$D$9:$D$3900, B27)</f>
        <v>0</v>
      </c>
      <c r="L27" s="2">
        <f>SUMIFS(Ingresos!$J$9:$J$3900, Ingresos!$L$9:$L$3900, $L$3, Ingresos!$M$9:$M$3900, $L$4, Ingresos!$D$9:$D$3900, B27)</f>
        <v>0</v>
      </c>
      <c r="M27" s="2">
        <f>SUMIFS(Ingresos!$J$9:$J$3900, Ingresos!$L$9:$L$3900, $M$3, Ingresos!$M$9:$M$3900, $M$4, Ingresos!$D$9:$D$3900, B27)</f>
        <v>0</v>
      </c>
      <c r="N27" s="2">
        <f>SUMIFS(Ingresos!$J$9:$J$3900, Ingresos!$L$9:$L$3900, $N$3, Ingresos!$M$9:$M$3900, $N$4, Ingresos!$D$9:$D$3900, B27)</f>
        <v>0</v>
      </c>
      <c r="O27" s="2">
        <f t="shared" si="6"/>
        <v>0</v>
      </c>
      <c r="Q27" s="2" t="e">
        <f>#REF!</f>
        <v>#REF!</v>
      </c>
      <c r="R27" s="2">
        <f>SUMIFS(Gastos!$J$9:$J$4091, Gastos!$L$9:$L$4091, $R$3, Gastos!$M$9:$M$4091, $R$4, Gastos!$D$9:$D$4091, Q27)</f>
        <v>0</v>
      </c>
      <c r="S27" s="2">
        <f>SUMIFS(Gastos!$J$9:$J$4091, Gastos!$L$9:$L$4091, $S$3, Gastos!$M$9:$M$4091, $S$4, Gastos!$D$9:$D$4091, Q27)</f>
        <v>0</v>
      </c>
      <c r="T27" s="2">
        <f>SUMIFS(Gastos!$J$9:$J$4091, Gastos!$L$9:$L$4091, $T$3, Gastos!$M$9:$M$4091, $T$4, Gastos!$D$9:$D$4091, Q27)</f>
        <v>0</v>
      </c>
      <c r="U27" s="2">
        <f>SUMIFS(Gastos!$J$9:$J$4091, Gastos!$L$9:$L$4091, $U$3, Gastos!$M$9:$M$4091, $U$4, Gastos!$D$9:$D$4091, Q27)</f>
        <v>0</v>
      </c>
      <c r="V27" s="2">
        <f>SUMIFS(Gastos!$J$9:$J$4091, Gastos!$L$9:$L$4091, $V$3, Gastos!$M$9:$M$4091, $V$4, Gastos!$D$9:$D$4091, Q27)</f>
        <v>0</v>
      </c>
      <c r="W27" s="2">
        <f>SUMIFS(Gastos!$J$9:$J$4091, Gastos!$L$9:$L$4091, $W$3, Gastos!$M$9:$M$4091, $W$4, Gastos!$D$9:$D$4091, Q27)</f>
        <v>0</v>
      </c>
      <c r="X27" s="2">
        <f>SUMIFS(Gastos!$J$9:$J$4091, Gastos!$L$9:$L$4091, $X$3, Gastos!$M$9:$M$4091, $X$4, Gastos!$D$9:$D$4091, Q27)</f>
        <v>0</v>
      </c>
      <c r="Y27" s="2">
        <f>SUMIFS(Gastos!$J$9:$J$4091, Gastos!$L$9:$L$4091, $Y$3, Gastos!$M$9:$M$4091, $Y$4, Gastos!$D$9:$D$4091, Q27)</f>
        <v>0</v>
      </c>
      <c r="Z27" s="2">
        <f>SUMIFS(Gastos!$J$9:$J$4091, Gastos!$L$9:$L$4091, $Z$3, Gastos!$M$9:$M$4091, $Z$4, Gastos!$D$9:$D$4091, Q27)</f>
        <v>0</v>
      </c>
      <c r="AA27" s="2">
        <f>SUMIFS(Gastos!$J$9:$J$4091, Gastos!$L$9:$L$4091, $AA$3, Gastos!$M$9:$M$4091, $AA$4, Gastos!$D$9:$D$4091, Q27)</f>
        <v>0</v>
      </c>
      <c r="AB27" s="2">
        <f>SUMIFS(Gastos!$J$9:$J$4091, Gastos!$L$9:$L$4091, $AB$3, Gastos!$M$9:$M$4091, $AB$4, Gastos!$D$9:$D$4091, Q27)</f>
        <v>0</v>
      </c>
      <c r="AC27" s="2">
        <f>SUMIFS(Gastos!$J$9:$J$4091, Gastos!$L$9:$L$4091, $AC$3, Gastos!$M$9:$M$4091, $AC$4, Gastos!$D$9:$D$4091, Q27)</f>
        <v>0</v>
      </c>
      <c r="AD27" s="2">
        <f t="shared" si="7"/>
        <v>0</v>
      </c>
      <c r="AK27" s="2" t="s">
        <v>25</v>
      </c>
      <c r="AL27" s="2" t="e">
        <f>SUM(AL15:AL26)</f>
        <v>#REF!</v>
      </c>
      <c r="AM27" s="2" t="e">
        <f>SUM(AM15:AM26)</f>
        <v>#REF!</v>
      </c>
      <c r="AN27" s="2" t="e">
        <f>SUM(AN15:AN26)</f>
        <v>#REF!</v>
      </c>
      <c r="AO27" s="2" t="e">
        <f>SUM(AO15:AO26)</f>
        <v>#REF!</v>
      </c>
      <c r="AP27" s="2" t="e">
        <f>SUM(AP15:AP26)</f>
        <v>#REF!</v>
      </c>
    </row>
    <row r="28" spans="2:42">
      <c r="B28" s="2" t="e">
        <f>#REF!</f>
        <v>#REF!</v>
      </c>
      <c r="C28" s="2">
        <f>SUMIFS(Ingresos!$J$9:$J$3900, Ingresos!$L$9:$L$3900, $C$3, Ingresos!$M$9:$M$3900, $C$4, Ingresos!$D$9:$D$3900, B28)</f>
        <v>0</v>
      </c>
      <c r="D28" s="2">
        <f>SUMIFS(Ingresos!$J$9:$J$3900, Ingresos!$L$9:$L$3900, $D$3, Ingresos!$M$9:$M$3900, $D$4, Ingresos!$D$9:$D$3900, B28)</f>
        <v>0</v>
      </c>
      <c r="E28" s="2">
        <f>SUMIFS(Ingresos!$J$9:$J$3900, Ingresos!$L$9:$L$3900, $E$3, Ingresos!$M$9:$M$3900, $E$4, Ingresos!$D$9:$D$3900, B28)</f>
        <v>0</v>
      </c>
      <c r="F28" s="2">
        <f>SUMIFS(Ingresos!$J$9:$J$3900, Ingresos!$L$9:$L$3900, $F$3, Ingresos!$M$9:$M$3900, $F$4, Ingresos!$D$9:$D$3900, B28)</f>
        <v>0</v>
      </c>
      <c r="G28" s="2">
        <f>SUMIFS(Ingresos!$J$9:$J$3900, Ingresos!$L$9:$L$3900, $G$3, Ingresos!$M$9:$M$3900, $G$4, Ingresos!$D$9:$D$3900, B28)</f>
        <v>0</v>
      </c>
      <c r="H28" s="2">
        <f>SUMIFS(Ingresos!$J$9:$J$3900, Ingresos!$L$9:$L$3900, $H$3, Ingresos!$M$9:$M$3900, $H$4, Ingresos!$D$9:$D$3900, B28)</f>
        <v>0</v>
      </c>
      <c r="I28" s="2">
        <f>SUMIFS(Ingresos!$J$9:$J$3900, Ingresos!$L$9:$L$3900, $I$3, Ingresos!$M$9:$M$3900, $I$4, Ingresos!$D$9:$D$3900, B28)</f>
        <v>0</v>
      </c>
      <c r="J28" s="2">
        <f>SUMIFS(Ingresos!$J$9:$J$3900, Ingresos!$L$9:$L$3900, $J$3, Ingresos!$M$9:$M$3900, $J$4, Ingresos!$D$9:$D$3900, B28)</f>
        <v>0</v>
      </c>
      <c r="K28" s="2">
        <f>SUMIFS(Ingresos!$J$9:$J$3900, Ingresos!$L$9:$L$3900, $K$3, Ingresos!$M$9:$M$3900, $K$4, Ingresos!$D$9:$D$3900, B28)</f>
        <v>0</v>
      </c>
      <c r="L28" s="2">
        <f>SUMIFS(Ingresos!$J$9:$J$3900, Ingresos!$L$9:$L$3900, $L$3, Ingresos!$M$9:$M$3900, $L$4, Ingresos!$D$9:$D$3900, B28)</f>
        <v>0</v>
      </c>
      <c r="M28" s="2">
        <f>SUMIFS(Ingresos!$J$9:$J$3900, Ingresos!$L$9:$L$3900, $M$3, Ingresos!$M$9:$M$3900, $M$4, Ingresos!$D$9:$D$3900, B28)</f>
        <v>0</v>
      </c>
      <c r="N28" s="2">
        <f>SUMIFS(Ingresos!$J$9:$J$3900, Ingresos!$L$9:$L$3900, $N$3, Ingresos!$M$9:$M$3900, $N$4, Ingresos!$D$9:$D$3900, B28)</f>
        <v>0</v>
      </c>
      <c r="O28" s="2">
        <f t="shared" si="6"/>
        <v>0</v>
      </c>
      <c r="Q28" s="2" t="e">
        <f>#REF!</f>
        <v>#REF!</v>
      </c>
      <c r="R28" s="2">
        <f>SUMIFS(Gastos!$J$9:$J$4091, Gastos!$L$9:$L$4091, $R$3, Gastos!$M$9:$M$4091, $R$4, Gastos!$D$9:$D$4091, Q28)</f>
        <v>0</v>
      </c>
      <c r="S28" s="2">
        <f>SUMIFS(Gastos!$J$9:$J$4091, Gastos!$L$9:$L$4091, $S$3, Gastos!$M$9:$M$4091, $S$4, Gastos!$D$9:$D$4091, Q28)</f>
        <v>0</v>
      </c>
      <c r="T28" s="2">
        <f>SUMIFS(Gastos!$J$9:$J$4091, Gastos!$L$9:$L$4091, $T$3, Gastos!$M$9:$M$4091, $T$4, Gastos!$D$9:$D$4091, Q28)</f>
        <v>0</v>
      </c>
      <c r="U28" s="2">
        <f>SUMIFS(Gastos!$J$9:$J$4091, Gastos!$L$9:$L$4091, $U$3, Gastos!$M$9:$M$4091, $U$4, Gastos!$D$9:$D$4091, Q28)</f>
        <v>0</v>
      </c>
      <c r="V28" s="2">
        <f>SUMIFS(Gastos!$J$9:$J$4091, Gastos!$L$9:$L$4091, $V$3, Gastos!$M$9:$M$4091, $V$4, Gastos!$D$9:$D$4091, Q28)</f>
        <v>0</v>
      </c>
      <c r="W28" s="2">
        <f>SUMIFS(Gastos!$J$9:$J$4091, Gastos!$L$9:$L$4091, $W$3, Gastos!$M$9:$M$4091, $W$4, Gastos!$D$9:$D$4091, Q28)</f>
        <v>0</v>
      </c>
      <c r="X28" s="2">
        <f>SUMIFS(Gastos!$J$9:$J$4091, Gastos!$L$9:$L$4091, $X$3, Gastos!$M$9:$M$4091, $X$4, Gastos!$D$9:$D$4091, Q28)</f>
        <v>0</v>
      </c>
      <c r="Y28" s="2">
        <f>SUMIFS(Gastos!$J$9:$J$4091, Gastos!$L$9:$L$4091, $Y$3, Gastos!$M$9:$M$4091, $Y$4, Gastos!$D$9:$D$4091, Q28)</f>
        <v>0</v>
      </c>
      <c r="Z28" s="2">
        <f>SUMIFS(Gastos!$J$9:$J$4091, Gastos!$L$9:$L$4091, $Z$3, Gastos!$M$9:$M$4091, $Z$4, Gastos!$D$9:$D$4091, Q28)</f>
        <v>0</v>
      </c>
      <c r="AA28" s="2">
        <f>SUMIFS(Gastos!$J$9:$J$4091, Gastos!$L$9:$L$4091, $AA$3, Gastos!$M$9:$M$4091, $AA$4, Gastos!$D$9:$D$4091, Q28)</f>
        <v>0</v>
      </c>
      <c r="AB28" s="2">
        <f>SUMIFS(Gastos!$J$9:$J$4091, Gastos!$L$9:$L$4091, $AB$3, Gastos!$M$9:$M$4091, $AB$4, Gastos!$D$9:$D$4091, Q28)</f>
        <v>0</v>
      </c>
      <c r="AC28" s="2">
        <f>SUMIFS(Gastos!$J$9:$J$4091, Gastos!$L$9:$L$4091, $AC$3, Gastos!$M$9:$M$4091, $AC$4, Gastos!$D$9:$D$4091, Q28)</f>
        <v>0</v>
      </c>
      <c r="AD28" s="2">
        <f t="shared" si="7"/>
        <v>0</v>
      </c>
    </row>
    <row r="29" spans="2:42">
      <c r="B29" s="2" t="e">
        <f>#REF!</f>
        <v>#REF!</v>
      </c>
      <c r="C29" s="2">
        <f>SUMIFS(Ingresos!$J$9:$J$3900, Ingresos!$L$9:$L$3900, $C$3, Ingresos!$M$9:$M$3900, $C$4, Ingresos!$D$9:$D$3900, B29)</f>
        <v>0</v>
      </c>
      <c r="D29" s="2">
        <f>SUMIFS(Ingresos!$J$9:$J$3900, Ingresos!$L$9:$L$3900, $D$3, Ingresos!$M$9:$M$3900, $D$4, Ingresos!$D$9:$D$3900, B29)</f>
        <v>0</v>
      </c>
      <c r="E29" s="2">
        <f>SUMIFS(Ingresos!$J$9:$J$3900, Ingresos!$L$9:$L$3900, $E$3, Ingresos!$M$9:$M$3900, $E$4, Ingresos!$D$9:$D$3900, B29)</f>
        <v>0</v>
      </c>
      <c r="F29" s="2">
        <f>SUMIFS(Ingresos!$J$9:$J$3900, Ingresos!$L$9:$L$3900, $F$3, Ingresos!$M$9:$M$3900, $F$4, Ingresos!$D$9:$D$3900, B29)</f>
        <v>0</v>
      </c>
      <c r="G29" s="2">
        <f>SUMIFS(Ingresos!$J$9:$J$3900, Ingresos!$L$9:$L$3900, $G$3, Ingresos!$M$9:$M$3900, $G$4, Ingresos!$D$9:$D$3900, B29)</f>
        <v>0</v>
      </c>
      <c r="H29" s="2">
        <f>SUMIFS(Ingresos!$J$9:$J$3900, Ingresos!$L$9:$L$3900, $H$3, Ingresos!$M$9:$M$3900, $H$4, Ingresos!$D$9:$D$3900, B29)</f>
        <v>0</v>
      </c>
      <c r="I29" s="2">
        <f>SUMIFS(Ingresos!$J$9:$J$3900, Ingresos!$L$9:$L$3900, $I$3, Ingresos!$M$9:$M$3900, $I$4, Ingresos!$D$9:$D$3900, B29)</f>
        <v>0</v>
      </c>
      <c r="J29" s="2">
        <f>SUMIFS(Ingresos!$J$9:$J$3900, Ingresos!$L$9:$L$3900, $J$3, Ingresos!$M$9:$M$3900, $J$4, Ingresos!$D$9:$D$3900, B29)</f>
        <v>0</v>
      </c>
      <c r="K29" s="2">
        <f>SUMIFS(Ingresos!$J$9:$J$3900, Ingresos!$L$9:$L$3900, $K$3, Ingresos!$M$9:$M$3900, $K$4, Ingresos!$D$9:$D$3900, B29)</f>
        <v>0</v>
      </c>
      <c r="L29" s="2">
        <f>SUMIFS(Ingresos!$J$9:$J$3900, Ingresos!$L$9:$L$3900, $L$3, Ingresos!$M$9:$M$3900, $L$4, Ingresos!$D$9:$D$3900, B29)</f>
        <v>0</v>
      </c>
      <c r="M29" s="2">
        <f>SUMIFS(Ingresos!$J$9:$J$3900, Ingresos!$L$9:$L$3900, $M$3, Ingresos!$M$9:$M$3900, $M$4, Ingresos!$D$9:$D$3900, B29)</f>
        <v>0</v>
      </c>
      <c r="N29" s="2">
        <f>SUMIFS(Ingresos!$J$9:$J$3900, Ingresos!$L$9:$L$3900, $N$3, Ingresos!$M$9:$M$3900, $N$4, Ingresos!$D$9:$D$3900, B29)</f>
        <v>0</v>
      </c>
      <c r="O29" s="2">
        <f t="shared" si="6"/>
        <v>0</v>
      </c>
      <c r="Q29" s="2" t="e">
        <f>#REF!</f>
        <v>#REF!</v>
      </c>
      <c r="R29" s="2">
        <f>SUMIFS(Gastos!$J$9:$J$4091, Gastos!$L$9:$L$4091, $R$3, Gastos!$M$9:$M$4091, $R$4, Gastos!$D$9:$D$4091, Q29)</f>
        <v>0</v>
      </c>
      <c r="S29" s="2">
        <f>SUMIFS(Gastos!$J$9:$J$4091, Gastos!$L$9:$L$4091, $S$3, Gastos!$M$9:$M$4091, $S$4, Gastos!$D$9:$D$4091, Q29)</f>
        <v>0</v>
      </c>
      <c r="T29" s="2">
        <f>SUMIFS(Gastos!$J$9:$J$4091, Gastos!$L$9:$L$4091, $T$3, Gastos!$M$9:$M$4091, $T$4, Gastos!$D$9:$D$4091, Q29)</f>
        <v>0</v>
      </c>
      <c r="U29" s="2">
        <f>SUMIFS(Gastos!$J$9:$J$4091, Gastos!$L$9:$L$4091, $U$3, Gastos!$M$9:$M$4091, $U$4, Gastos!$D$9:$D$4091, Q29)</f>
        <v>0</v>
      </c>
      <c r="V29" s="2">
        <f>SUMIFS(Gastos!$J$9:$J$4091, Gastos!$L$9:$L$4091, $V$3, Gastos!$M$9:$M$4091, $V$4, Gastos!$D$9:$D$4091, Q29)</f>
        <v>0</v>
      </c>
      <c r="W29" s="2">
        <f>SUMIFS(Gastos!$J$9:$J$4091, Gastos!$L$9:$L$4091, $W$3, Gastos!$M$9:$M$4091, $W$4, Gastos!$D$9:$D$4091, Q29)</f>
        <v>0</v>
      </c>
      <c r="X29" s="2">
        <f>SUMIFS(Gastos!$J$9:$J$4091, Gastos!$L$9:$L$4091, $X$3, Gastos!$M$9:$M$4091, $X$4, Gastos!$D$9:$D$4091, Q29)</f>
        <v>0</v>
      </c>
      <c r="Y29" s="2">
        <f>SUMIFS(Gastos!$J$9:$J$4091, Gastos!$L$9:$L$4091, $Y$3, Gastos!$M$9:$M$4091, $Y$4, Gastos!$D$9:$D$4091, Q29)</f>
        <v>0</v>
      </c>
      <c r="Z29" s="2">
        <f>SUMIFS(Gastos!$J$9:$J$4091, Gastos!$L$9:$L$4091, $Z$3, Gastos!$M$9:$M$4091, $Z$4, Gastos!$D$9:$D$4091, Q29)</f>
        <v>0</v>
      </c>
      <c r="AA29" s="2">
        <f>SUMIFS(Gastos!$J$9:$J$4091, Gastos!$L$9:$L$4091, $AA$3, Gastos!$M$9:$M$4091, $AA$4, Gastos!$D$9:$D$4091, Q29)</f>
        <v>0</v>
      </c>
      <c r="AB29" s="2">
        <f>SUMIFS(Gastos!$J$9:$J$4091, Gastos!$L$9:$L$4091, $AB$3, Gastos!$M$9:$M$4091, $AB$4, Gastos!$D$9:$D$4091, Q29)</f>
        <v>0</v>
      </c>
      <c r="AC29" s="2">
        <f>SUMIFS(Gastos!$J$9:$J$4091, Gastos!$L$9:$L$4091, $AC$3, Gastos!$M$9:$M$4091, $AC$4, Gastos!$D$9:$D$4091, Q29)</f>
        <v>0</v>
      </c>
      <c r="AD29" s="2">
        <f t="shared" si="7"/>
        <v>0</v>
      </c>
      <c r="AK29" s="2" t="s">
        <v>27</v>
      </c>
      <c r="AL29" s="2" t="s">
        <v>22</v>
      </c>
      <c r="AM29" s="2" t="s">
        <v>23</v>
      </c>
      <c r="AN29" s="2" t="s">
        <v>24</v>
      </c>
      <c r="AO29" s="2" t="s">
        <v>125</v>
      </c>
      <c r="AP29" s="2" t="s">
        <v>127</v>
      </c>
    </row>
    <row r="30" spans="2:42">
      <c r="B30" s="2" t="e">
        <f>#REF!</f>
        <v>#REF!</v>
      </c>
      <c r="C30" s="2">
        <f>SUMIFS(Ingresos!$J$9:$J$3900, Ingresos!$L$9:$L$3900, $C$3, Ingresos!$M$9:$M$3900, $C$4, Ingresos!$D$9:$D$3900, B30)</f>
        <v>0</v>
      </c>
      <c r="D30" s="2">
        <f>SUMIFS(Ingresos!$J$9:$J$3900, Ingresos!$L$9:$L$3900, $D$3, Ingresos!$M$9:$M$3900, $D$4, Ingresos!$D$9:$D$3900, B30)</f>
        <v>0</v>
      </c>
      <c r="E30" s="2">
        <f>SUMIFS(Ingresos!$J$9:$J$3900, Ingresos!$L$9:$L$3900, $E$3, Ingresos!$M$9:$M$3900, $E$4, Ingresos!$D$9:$D$3900, B30)</f>
        <v>0</v>
      </c>
      <c r="F30" s="2">
        <f>SUMIFS(Ingresos!$J$9:$J$3900, Ingresos!$L$9:$L$3900, $F$3, Ingresos!$M$9:$M$3900, $F$4, Ingresos!$D$9:$D$3900, B30)</f>
        <v>0</v>
      </c>
      <c r="G30" s="2">
        <f>SUMIFS(Ingresos!$J$9:$J$3900, Ingresos!$L$9:$L$3900, $G$3, Ingresos!$M$9:$M$3900, $G$4, Ingresos!$D$9:$D$3900, B30)</f>
        <v>0</v>
      </c>
      <c r="H30" s="2">
        <f>SUMIFS(Ingresos!$J$9:$J$3900, Ingresos!$L$9:$L$3900, $H$3, Ingresos!$M$9:$M$3900, $H$4, Ingresos!$D$9:$D$3900, B30)</f>
        <v>0</v>
      </c>
      <c r="I30" s="2">
        <f>SUMIFS(Ingresos!$J$9:$J$3900, Ingresos!$L$9:$L$3900, $I$3, Ingresos!$M$9:$M$3900, $I$4, Ingresos!$D$9:$D$3900, B30)</f>
        <v>0</v>
      </c>
      <c r="J30" s="2">
        <f>SUMIFS(Ingresos!$J$9:$J$3900, Ingresos!$L$9:$L$3900, $J$3, Ingresos!$M$9:$M$3900, $J$4, Ingresos!$D$9:$D$3900, B30)</f>
        <v>0</v>
      </c>
      <c r="K30" s="2">
        <f>SUMIFS(Ingresos!$J$9:$J$3900, Ingresos!$L$9:$L$3900, $K$3, Ingresos!$M$9:$M$3900, $K$4, Ingresos!$D$9:$D$3900, B30)</f>
        <v>0</v>
      </c>
      <c r="L30" s="2">
        <f>SUMIFS(Ingresos!$J$9:$J$3900, Ingresos!$L$9:$L$3900, $L$3, Ingresos!$M$9:$M$3900, $L$4, Ingresos!$D$9:$D$3900, B30)</f>
        <v>0</v>
      </c>
      <c r="M30" s="2">
        <f>SUMIFS(Ingresos!$J$9:$J$3900, Ingresos!$L$9:$L$3900, $M$3, Ingresos!$M$9:$M$3900, $M$4, Ingresos!$D$9:$D$3900, B30)</f>
        <v>0</v>
      </c>
      <c r="N30" s="2">
        <f>SUMIFS(Ingresos!$J$9:$J$3900, Ingresos!$L$9:$L$3900, $N$3, Ingresos!$M$9:$M$3900, $N$4, Ingresos!$D$9:$D$3900, B30)</f>
        <v>0</v>
      </c>
      <c r="O30" s="2">
        <f t="shared" si="6"/>
        <v>0</v>
      </c>
      <c r="Q30" s="2" t="e">
        <f>#REF!</f>
        <v>#REF!</v>
      </c>
      <c r="R30" s="2">
        <f>SUMIFS(Gastos!$J$9:$J$4091, Gastos!$L$9:$L$4091, $R$3, Gastos!$M$9:$M$4091, $R$4, Gastos!$D$9:$D$4091, Q30)</f>
        <v>0</v>
      </c>
      <c r="S30" s="2">
        <f>SUMIFS(Gastos!$J$9:$J$4091, Gastos!$L$9:$L$4091, $S$3, Gastos!$M$9:$M$4091, $S$4, Gastos!$D$9:$D$4091, Q30)</f>
        <v>0</v>
      </c>
      <c r="T30" s="2">
        <f>SUMIFS(Gastos!$J$9:$J$4091, Gastos!$L$9:$L$4091, $T$3, Gastos!$M$9:$M$4091, $T$4, Gastos!$D$9:$D$4091, Q30)</f>
        <v>0</v>
      </c>
      <c r="U30" s="2">
        <f>SUMIFS(Gastos!$J$9:$J$4091, Gastos!$L$9:$L$4091, $U$3, Gastos!$M$9:$M$4091, $U$4, Gastos!$D$9:$D$4091, Q30)</f>
        <v>0</v>
      </c>
      <c r="V30" s="2">
        <f>SUMIFS(Gastos!$J$9:$J$4091, Gastos!$L$9:$L$4091, $V$3, Gastos!$M$9:$M$4091, $V$4, Gastos!$D$9:$D$4091, Q30)</f>
        <v>0</v>
      </c>
      <c r="W30" s="2">
        <f>SUMIFS(Gastos!$J$9:$J$4091, Gastos!$L$9:$L$4091, $W$3, Gastos!$M$9:$M$4091, $W$4, Gastos!$D$9:$D$4091, Q30)</f>
        <v>0</v>
      </c>
      <c r="X30" s="2">
        <f>SUMIFS(Gastos!$J$9:$J$4091, Gastos!$L$9:$L$4091, $X$3, Gastos!$M$9:$M$4091, $X$4, Gastos!$D$9:$D$4091, Q30)</f>
        <v>0</v>
      </c>
      <c r="Y30" s="2">
        <f>SUMIFS(Gastos!$J$9:$J$4091, Gastos!$L$9:$L$4091, $Y$3, Gastos!$M$9:$M$4091, $Y$4, Gastos!$D$9:$D$4091, Q30)</f>
        <v>0</v>
      </c>
      <c r="Z30" s="2">
        <f>SUMIFS(Gastos!$J$9:$J$4091, Gastos!$L$9:$L$4091, $Z$3, Gastos!$M$9:$M$4091, $Z$4, Gastos!$D$9:$D$4091, Q30)</f>
        <v>0</v>
      </c>
      <c r="AA30" s="2">
        <f>SUMIFS(Gastos!$J$9:$J$4091, Gastos!$L$9:$L$4091, $AA$3, Gastos!$M$9:$M$4091, $AA$4, Gastos!$D$9:$D$4091, Q30)</f>
        <v>0</v>
      </c>
      <c r="AB30" s="2">
        <f>SUMIFS(Gastos!$J$9:$J$4091, Gastos!$L$9:$L$4091, $AB$3, Gastos!$M$9:$M$4091, $AB$4, Gastos!$D$9:$D$4091, Q30)</f>
        <v>0</v>
      </c>
      <c r="AC30" s="2">
        <f>SUMIFS(Gastos!$J$9:$J$4091, Gastos!$L$9:$L$4091, $AC$3, Gastos!$M$9:$M$4091, $AC$4, Gastos!$D$9:$D$4091, Q30)</f>
        <v>0</v>
      </c>
      <c r="AD30" s="2">
        <f t="shared" si="7"/>
        <v>0</v>
      </c>
      <c r="AK30" s="19" t="e">
        <f>#REF!</f>
        <v>#REF!</v>
      </c>
      <c r="AL30" s="2" t="e">
        <f>#REF!</f>
        <v>#REF!</v>
      </c>
      <c r="AM30" s="2" t="e">
        <f>#REF!</f>
        <v>#REF!</v>
      </c>
      <c r="AN30" s="2" t="e">
        <f>AL30-AM30</f>
        <v>#REF!</v>
      </c>
      <c r="AO30" s="2" t="e">
        <f>AL30</f>
        <v>#REF!</v>
      </c>
      <c r="AP30" s="2" t="e">
        <f>AM30</f>
        <v>#REF!</v>
      </c>
    </row>
    <row r="31" spans="2:42">
      <c r="B31" s="2" t="e">
        <f>#REF!</f>
        <v>#REF!</v>
      </c>
      <c r="C31" s="2">
        <f>SUMIFS(Ingresos!$J$9:$J$3900, Ingresos!$L$9:$L$3900, $C$3, Ingresos!$M$9:$M$3900, $C$4, Ingresos!$D$9:$D$3900, B31)</f>
        <v>0</v>
      </c>
      <c r="D31" s="2">
        <f>SUMIFS(Ingresos!$J$9:$J$3900, Ingresos!$L$9:$L$3900, $D$3, Ingresos!$M$9:$M$3900, $D$4, Ingresos!$D$9:$D$3900, B31)</f>
        <v>0</v>
      </c>
      <c r="E31" s="2">
        <f>SUMIFS(Ingresos!$J$9:$J$3900, Ingresos!$L$9:$L$3900, $E$3, Ingresos!$M$9:$M$3900, $E$4, Ingresos!$D$9:$D$3900, B31)</f>
        <v>0</v>
      </c>
      <c r="F31" s="2">
        <f>SUMIFS(Ingresos!$J$9:$J$3900, Ingresos!$L$9:$L$3900, $F$3, Ingresos!$M$9:$M$3900, $F$4, Ingresos!$D$9:$D$3900, B31)</f>
        <v>0</v>
      </c>
      <c r="G31" s="2">
        <f>SUMIFS(Ingresos!$J$9:$J$3900, Ingresos!$L$9:$L$3900, $G$3, Ingresos!$M$9:$M$3900, $G$4, Ingresos!$D$9:$D$3900, B31)</f>
        <v>0</v>
      </c>
      <c r="H31" s="2">
        <f>SUMIFS(Ingresos!$J$9:$J$3900, Ingresos!$L$9:$L$3900, $H$3, Ingresos!$M$9:$M$3900, $H$4, Ingresos!$D$9:$D$3900, B31)</f>
        <v>0</v>
      </c>
      <c r="I31" s="2">
        <f>SUMIFS(Ingresos!$J$9:$J$3900, Ingresos!$L$9:$L$3900, $I$3, Ingresos!$M$9:$M$3900, $I$4, Ingresos!$D$9:$D$3900, B31)</f>
        <v>0</v>
      </c>
      <c r="J31" s="2">
        <f>SUMIFS(Ingresos!$J$9:$J$3900, Ingresos!$L$9:$L$3900, $J$3, Ingresos!$M$9:$M$3900, $J$4, Ingresos!$D$9:$D$3900, B31)</f>
        <v>0</v>
      </c>
      <c r="K31" s="2">
        <f>SUMIFS(Ingresos!$J$9:$J$3900, Ingresos!$L$9:$L$3900, $K$3, Ingresos!$M$9:$M$3900, $K$4, Ingresos!$D$9:$D$3900, B31)</f>
        <v>0</v>
      </c>
      <c r="L31" s="2">
        <f>SUMIFS(Ingresos!$J$9:$J$3900, Ingresos!$L$9:$L$3900, $L$3, Ingresos!$M$9:$M$3900, $L$4, Ingresos!$D$9:$D$3900, B31)</f>
        <v>0</v>
      </c>
      <c r="M31" s="2">
        <f>SUMIFS(Ingresos!$J$9:$J$3900, Ingresos!$L$9:$L$3900, $M$3, Ingresos!$M$9:$M$3900, $M$4, Ingresos!$D$9:$D$3900, B31)</f>
        <v>0</v>
      </c>
      <c r="N31" s="2">
        <f>SUMIFS(Ingresos!$J$9:$J$3900, Ingresos!$L$9:$L$3900, $N$3, Ingresos!$M$9:$M$3900, $N$4, Ingresos!$D$9:$D$3900, B31)</f>
        <v>0</v>
      </c>
      <c r="O31" s="2">
        <f t="shared" si="6"/>
        <v>0</v>
      </c>
      <c r="Q31" s="2" t="e">
        <f>#REF!</f>
        <v>#REF!</v>
      </c>
      <c r="R31" s="2">
        <f>SUMIFS(Gastos!$J$9:$J$4091, Gastos!$L$9:$L$4091, $R$3, Gastos!$M$9:$M$4091, $R$4, Gastos!$D$9:$D$4091, Q31)</f>
        <v>0</v>
      </c>
      <c r="S31" s="2">
        <f>SUMIFS(Gastos!$J$9:$J$4091, Gastos!$L$9:$L$4091, $S$3, Gastos!$M$9:$M$4091, $S$4, Gastos!$D$9:$D$4091, Q31)</f>
        <v>0</v>
      </c>
      <c r="T31" s="2">
        <f>SUMIFS(Gastos!$J$9:$J$4091, Gastos!$L$9:$L$4091, $T$3, Gastos!$M$9:$M$4091, $T$4, Gastos!$D$9:$D$4091, Q31)</f>
        <v>0</v>
      </c>
      <c r="U31" s="2">
        <f>SUMIFS(Gastos!$J$9:$J$4091, Gastos!$L$9:$L$4091, $U$3, Gastos!$M$9:$M$4091, $U$4, Gastos!$D$9:$D$4091, Q31)</f>
        <v>0</v>
      </c>
      <c r="V31" s="2">
        <f>SUMIFS(Gastos!$J$9:$J$4091, Gastos!$L$9:$L$4091, $V$3, Gastos!$M$9:$M$4091, $V$4, Gastos!$D$9:$D$4091, Q31)</f>
        <v>0</v>
      </c>
      <c r="W31" s="2">
        <f>SUMIFS(Gastos!$J$9:$J$4091, Gastos!$L$9:$L$4091, $W$3, Gastos!$M$9:$M$4091, $W$4, Gastos!$D$9:$D$4091, Q31)</f>
        <v>0</v>
      </c>
      <c r="X31" s="2">
        <f>SUMIFS(Gastos!$J$9:$J$4091, Gastos!$L$9:$L$4091, $X$3, Gastos!$M$9:$M$4091, $X$4, Gastos!$D$9:$D$4091, Q31)</f>
        <v>0</v>
      </c>
      <c r="Y31" s="2">
        <f>SUMIFS(Gastos!$J$9:$J$4091, Gastos!$L$9:$L$4091, $Y$3, Gastos!$M$9:$M$4091, $Y$4, Gastos!$D$9:$D$4091, Q31)</f>
        <v>0</v>
      </c>
      <c r="Z31" s="2">
        <f>SUMIFS(Gastos!$J$9:$J$4091, Gastos!$L$9:$L$4091, $Z$3, Gastos!$M$9:$M$4091, $Z$4, Gastos!$D$9:$D$4091, Q31)</f>
        <v>0</v>
      </c>
      <c r="AA31" s="2">
        <f>SUMIFS(Gastos!$J$9:$J$4091, Gastos!$L$9:$L$4091, $AA$3, Gastos!$M$9:$M$4091, $AA$4, Gastos!$D$9:$D$4091, Q31)</f>
        <v>0</v>
      </c>
      <c r="AB31" s="2">
        <f>SUMIFS(Gastos!$J$9:$J$4091, Gastos!$L$9:$L$4091, $AB$3, Gastos!$M$9:$M$4091, $AB$4, Gastos!$D$9:$D$4091, Q31)</f>
        <v>0</v>
      </c>
      <c r="AC31" s="2">
        <f>SUMIFS(Gastos!$J$9:$J$4091, Gastos!$L$9:$L$4091, $AC$3, Gastos!$M$9:$M$4091, $AC$4, Gastos!$D$9:$D$4091, Q31)</f>
        <v>0</v>
      </c>
      <c r="AD31" s="2">
        <f t="shared" si="7"/>
        <v>0</v>
      </c>
      <c r="AK31" s="19" t="e">
        <f>#REF!</f>
        <v>#REF!</v>
      </c>
      <c r="AL31" s="2" t="e">
        <f>#REF!</f>
        <v>#REF!</v>
      </c>
      <c r="AM31" s="2" t="e">
        <f>#REF!</f>
        <v>#REF!</v>
      </c>
      <c r="AN31" s="2" t="e">
        <f t="shared" ref="AN31:AN41" si="13">AL31-AM31</f>
        <v>#REF!</v>
      </c>
      <c r="AO31" s="2" t="e">
        <f>AO30+AL31</f>
        <v>#REF!</v>
      </c>
      <c r="AP31" s="2" t="e">
        <f>AP30+AM31</f>
        <v>#REF!</v>
      </c>
    </row>
    <row r="32" spans="2:42">
      <c r="B32" s="2" t="e">
        <f>#REF!</f>
        <v>#REF!</v>
      </c>
      <c r="C32" s="2">
        <f>SUMIFS(Ingresos!$J$9:$J$3900, Ingresos!$L$9:$L$3900, $C$3, Ingresos!$M$9:$M$3900, $C$4, Ingresos!$D$9:$D$3900, B32)</f>
        <v>0</v>
      </c>
      <c r="D32" s="2">
        <f>SUMIFS(Ingresos!$J$9:$J$3900, Ingresos!$L$9:$L$3900, $D$3, Ingresos!$M$9:$M$3900, $D$4, Ingresos!$D$9:$D$3900, B32)</f>
        <v>0</v>
      </c>
      <c r="E32" s="2">
        <f>SUMIFS(Ingresos!$J$9:$J$3900, Ingresos!$L$9:$L$3900, $E$3, Ingresos!$M$9:$M$3900, $E$4, Ingresos!$D$9:$D$3900, B32)</f>
        <v>0</v>
      </c>
      <c r="F32" s="2">
        <f>SUMIFS(Ingresos!$J$9:$J$3900, Ingresos!$L$9:$L$3900, $F$3, Ingresos!$M$9:$M$3900, $F$4, Ingresos!$D$9:$D$3900, B32)</f>
        <v>0</v>
      </c>
      <c r="G32" s="2">
        <f>SUMIFS(Ingresos!$J$9:$J$3900, Ingresos!$L$9:$L$3900, $G$3, Ingresos!$M$9:$M$3900, $G$4, Ingresos!$D$9:$D$3900, B32)</f>
        <v>0</v>
      </c>
      <c r="H32" s="2">
        <f>SUMIFS(Ingresos!$J$9:$J$3900, Ingresos!$L$9:$L$3900, $H$3, Ingresos!$M$9:$M$3900, $H$4, Ingresos!$D$9:$D$3900, B32)</f>
        <v>0</v>
      </c>
      <c r="I32" s="2">
        <f>SUMIFS(Ingresos!$J$9:$J$3900, Ingresos!$L$9:$L$3900, $I$3, Ingresos!$M$9:$M$3900, $I$4, Ingresos!$D$9:$D$3900, B32)</f>
        <v>0</v>
      </c>
      <c r="J32" s="2">
        <f>SUMIFS(Ingresos!$J$9:$J$3900, Ingresos!$L$9:$L$3900, $J$3, Ingresos!$M$9:$M$3900, $J$4, Ingresos!$D$9:$D$3900, B32)</f>
        <v>0</v>
      </c>
      <c r="K32" s="2">
        <f>SUMIFS(Ingresos!$J$9:$J$3900, Ingresos!$L$9:$L$3900, $K$3, Ingresos!$M$9:$M$3900, $K$4, Ingresos!$D$9:$D$3900, B32)</f>
        <v>0</v>
      </c>
      <c r="L32" s="2">
        <f>SUMIFS(Ingresos!$J$9:$J$3900, Ingresos!$L$9:$L$3900, $L$3, Ingresos!$M$9:$M$3900, $L$4, Ingresos!$D$9:$D$3900, B32)</f>
        <v>0</v>
      </c>
      <c r="M32" s="2">
        <f>SUMIFS(Ingresos!$J$9:$J$3900, Ingresos!$L$9:$L$3900, $M$3, Ingresos!$M$9:$M$3900, $M$4, Ingresos!$D$9:$D$3900, B32)</f>
        <v>0</v>
      </c>
      <c r="N32" s="2">
        <f>SUMIFS(Ingresos!$J$9:$J$3900, Ingresos!$L$9:$L$3900, $N$3, Ingresos!$M$9:$M$3900, $N$4, Ingresos!$D$9:$D$3900, B32)</f>
        <v>0</v>
      </c>
      <c r="O32" s="2">
        <f t="shared" si="6"/>
        <v>0</v>
      </c>
      <c r="Q32" s="2" t="e">
        <f>#REF!</f>
        <v>#REF!</v>
      </c>
      <c r="R32" s="2">
        <f>SUMIFS(Gastos!$J$9:$J$4091, Gastos!$L$9:$L$4091, $R$3, Gastos!$M$9:$M$4091, $R$4, Gastos!$D$9:$D$4091, Q32)</f>
        <v>0</v>
      </c>
      <c r="S32" s="2">
        <f>SUMIFS(Gastos!$J$9:$J$4091, Gastos!$L$9:$L$4091, $S$3, Gastos!$M$9:$M$4091, $S$4, Gastos!$D$9:$D$4091, Q32)</f>
        <v>0</v>
      </c>
      <c r="T32" s="2">
        <f>SUMIFS(Gastos!$J$9:$J$4091, Gastos!$L$9:$L$4091, $T$3, Gastos!$M$9:$M$4091, $T$4, Gastos!$D$9:$D$4091, Q32)</f>
        <v>0</v>
      </c>
      <c r="U32" s="2">
        <f>SUMIFS(Gastos!$J$9:$J$4091, Gastos!$L$9:$L$4091, $U$3, Gastos!$M$9:$M$4091, $U$4, Gastos!$D$9:$D$4091, Q32)</f>
        <v>0</v>
      </c>
      <c r="V32" s="2">
        <f>SUMIFS(Gastos!$J$9:$J$4091, Gastos!$L$9:$L$4091, $V$3, Gastos!$M$9:$M$4091, $V$4, Gastos!$D$9:$D$4091, Q32)</f>
        <v>0</v>
      </c>
      <c r="W32" s="2">
        <f>SUMIFS(Gastos!$J$9:$J$4091, Gastos!$L$9:$L$4091, $W$3, Gastos!$M$9:$M$4091, $W$4, Gastos!$D$9:$D$4091, Q32)</f>
        <v>0</v>
      </c>
      <c r="X32" s="2">
        <f>SUMIFS(Gastos!$J$9:$J$4091, Gastos!$L$9:$L$4091, $X$3, Gastos!$M$9:$M$4091, $X$4, Gastos!$D$9:$D$4091, Q32)</f>
        <v>0</v>
      </c>
      <c r="Y32" s="2">
        <f>SUMIFS(Gastos!$J$9:$J$4091, Gastos!$L$9:$L$4091, $Y$3, Gastos!$M$9:$M$4091, $Y$4, Gastos!$D$9:$D$4091, Q32)</f>
        <v>0</v>
      </c>
      <c r="Z32" s="2">
        <f>SUMIFS(Gastos!$J$9:$J$4091, Gastos!$L$9:$L$4091, $Z$3, Gastos!$M$9:$M$4091, $Z$4, Gastos!$D$9:$D$4091, Q32)</f>
        <v>0</v>
      </c>
      <c r="AA32" s="2">
        <f>SUMIFS(Gastos!$J$9:$J$4091, Gastos!$L$9:$L$4091, $AA$3, Gastos!$M$9:$M$4091, $AA$4, Gastos!$D$9:$D$4091, Q32)</f>
        <v>0</v>
      </c>
      <c r="AB32" s="2">
        <f>SUMIFS(Gastos!$J$9:$J$4091, Gastos!$L$9:$L$4091, $AB$3, Gastos!$M$9:$M$4091, $AB$4, Gastos!$D$9:$D$4091, Q32)</f>
        <v>0</v>
      </c>
      <c r="AC32" s="2">
        <f>SUMIFS(Gastos!$J$9:$J$4091, Gastos!$L$9:$L$4091, $AC$3, Gastos!$M$9:$M$4091, $AC$4, Gastos!$D$9:$D$4091, Q32)</f>
        <v>0</v>
      </c>
      <c r="AD32" s="2">
        <f t="shared" si="7"/>
        <v>0</v>
      </c>
      <c r="AK32" s="19" t="e">
        <f>#REF!</f>
        <v>#REF!</v>
      </c>
      <c r="AL32" s="2" t="e">
        <f>#REF!</f>
        <v>#REF!</v>
      </c>
      <c r="AM32" s="2" t="e">
        <f>#REF!</f>
        <v>#REF!</v>
      </c>
      <c r="AN32" s="2" t="e">
        <f t="shared" si="13"/>
        <v>#REF!</v>
      </c>
      <c r="AO32" s="2" t="e">
        <f t="shared" ref="AO32:AO41" si="14">AO31+AL32</f>
        <v>#REF!</v>
      </c>
      <c r="AP32" s="2" t="e">
        <f t="shared" ref="AP32:AP41" si="15">AP31+AM32</f>
        <v>#REF!</v>
      </c>
    </row>
    <row r="33" spans="2:42">
      <c r="B33" s="2" t="e">
        <f>#REF!</f>
        <v>#REF!</v>
      </c>
      <c r="C33" s="2">
        <f>SUMIFS(Ingresos!$J$9:$J$3900, Ingresos!$L$9:$L$3900, $C$3, Ingresos!$M$9:$M$3900, $C$4, Ingresos!$D$9:$D$3900, B33)</f>
        <v>0</v>
      </c>
      <c r="D33" s="2">
        <f>SUMIFS(Ingresos!$J$9:$J$3900, Ingresos!$L$9:$L$3900, $D$3, Ingresos!$M$9:$M$3900, $D$4, Ingresos!$D$9:$D$3900, B33)</f>
        <v>0</v>
      </c>
      <c r="E33" s="2">
        <f>SUMIFS(Ingresos!$J$9:$J$3900, Ingresos!$L$9:$L$3900, $E$3, Ingresos!$M$9:$M$3900, $E$4, Ingresos!$D$9:$D$3900, B33)</f>
        <v>0</v>
      </c>
      <c r="F33" s="2">
        <f>SUMIFS(Ingresos!$J$9:$J$3900, Ingresos!$L$9:$L$3900, $F$3, Ingresos!$M$9:$M$3900, $F$4, Ingresos!$D$9:$D$3900, B33)</f>
        <v>0</v>
      </c>
      <c r="G33" s="2">
        <f>SUMIFS(Ingresos!$J$9:$J$3900, Ingresos!$L$9:$L$3900, $G$3, Ingresos!$M$9:$M$3900, $G$4, Ingresos!$D$9:$D$3900, B33)</f>
        <v>0</v>
      </c>
      <c r="H33" s="2">
        <f>SUMIFS(Ingresos!$J$9:$J$3900, Ingresos!$L$9:$L$3900, $H$3, Ingresos!$M$9:$M$3900, $H$4, Ingresos!$D$9:$D$3900, B33)</f>
        <v>0</v>
      </c>
      <c r="I33" s="2">
        <f>SUMIFS(Ingresos!$J$9:$J$3900, Ingresos!$L$9:$L$3900, $I$3, Ingresos!$M$9:$M$3900, $I$4, Ingresos!$D$9:$D$3900, B33)</f>
        <v>0</v>
      </c>
      <c r="J33" s="2">
        <f>SUMIFS(Ingresos!$J$9:$J$3900, Ingresos!$L$9:$L$3900, $J$3, Ingresos!$M$9:$M$3900, $J$4, Ingresos!$D$9:$D$3900, B33)</f>
        <v>0</v>
      </c>
      <c r="K33" s="2">
        <f>SUMIFS(Ingresos!$J$9:$J$3900, Ingresos!$L$9:$L$3900, $K$3, Ingresos!$M$9:$M$3900, $K$4, Ingresos!$D$9:$D$3900, B33)</f>
        <v>0</v>
      </c>
      <c r="L33" s="2">
        <f>SUMIFS(Ingresos!$J$9:$J$3900, Ingresos!$L$9:$L$3900, $L$3, Ingresos!$M$9:$M$3900, $L$4, Ingresos!$D$9:$D$3900, B33)</f>
        <v>0</v>
      </c>
      <c r="M33" s="2">
        <f>SUMIFS(Ingresos!$J$9:$J$3900, Ingresos!$L$9:$L$3900, $M$3, Ingresos!$M$9:$M$3900, $M$4, Ingresos!$D$9:$D$3900, B33)</f>
        <v>0</v>
      </c>
      <c r="N33" s="2">
        <f>SUMIFS(Ingresos!$J$9:$J$3900, Ingresos!$L$9:$L$3900, $N$3, Ingresos!$M$9:$M$3900, $N$4, Ingresos!$D$9:$D$3900, B33)</f>
        <v>0</v>
      </c>
      <c r="O33" s="2">
        <f t="shared" si="6"/>
        <v>0</v>
      </c>
      <c r="Q33" s="2" t="e">
        <f>#REF!</f>
        <v>#REF!</v>
      </c>
      <c r="R33" s="2">
        <f>SUMIFS(Gastos!$J$9:$J$4091, Gastos!$L$9:$L$4091, $R$3, Gastos!$M$9:$M$4091, $R$4, Gastos!$D$9:$D$4091, Q33)</f>
        <v>0</v>
      </c>
      <c r="S33" s="2">
        <f>SUMIFS(Gastos!$J$9:$J$4091, Gastos!$L$9:$L$4091, $S$3, Gastos!$M$9:$M$4091, $S$4, Gastos!$D$9:$D$4091, Q33)</f>
        <v>0</v>
      </c>
      <c r="T33" s="2">
        <f>SUMIFS(Gastos!$J$9:$J$4091, Gastos!$L$9:$L$4091, $T$3, Gastos!$M$9:$M$4091, $T$4, Gastos!$D$9:$D$4091, Q33)</f>
        <v>0</v>
      </c>
      <c r="U33" s="2">
        <f>SUMIFS(Gastos!$J$9:$J$4091, Gastos!$L$9:$L$4091, $U$3, Gastos!$M$9:$M$4091, $U$4, Gastos!$D$9:$D$4091, Q33)</f>
        <v>0</v>
      </c>
      <c r="V33" s="2">
        <f>SUMIFS(Gastos!$J$9:$J$4091, Gastos!$L$9:$L$4091, $V$3, Gastos!$M$9:$M$4091, $V$4, Gastos!$D$9:$D$4091, Q33)</f>
        <v>0</v>
      </c>
      <c r="W33" s="2">
        <f>SUMIFS(Gastos!$J$9:$J$4091, Gastos!$L$9:$L$4091, $W$3, Gastos!$M$9:$M$4091, $W$4, Gastos!$D$9:$D$4091, Q33)</f>
        <v>0</v>
      </c>
      <c r="X33" s="2">
        <f>SUMIFS(Gastos!$J$9:$J$4091, Gastos!$L$9:$L$4091, $X$3, Gastos!$M$9:$M$4091, $X$4, Gastos!$D$9:$D$4091, Q33)</f>
        <v>0</v>
      </c>
      <c r="Y33" s="2">
        <f>SUMIFS(Gastos!$J$9:$J$4091, Gastos!$L$9:$L$4091, $Y$3, Gastos!$M$9:$M$4091, $Y$4, Gastos!$D$9:$D$4091, Q33)</f>
        <v>0</v>
      </c>
      <c r="Z33" s="2">
        <f>SUMIFS(Gastos!$J$9:$J$4091, Gastos!$L$9:$L$4091, $Z$3, Gastos!$M$9:$M$4091, $Z$4, Gastos!$D$9:$D$4091, Q33)</f>
        <v>0</v>
      </c>
      <c r="AA33" s="2">
        <f>SUMIFS(Gastos!$J$9:$J$4091, Gastos!$L$9:$L$4091, $AA$3, Gastos!$M$9:$M$4091, $AA$4, Gastos!$D$9:$D$4091, Q33)</f>
        <v>0</v>
      </c>
      <c r="AB33" s="2">
        <f>SUMIFS(Gastos!$J$9:$J$4091, Gastos!$L$9:$L$4091, $AB$3, Gastos!$M$9:$M$4091, $AB$4, Gastos!$D$9:$D$4091, Q33)</f>
        <v>0</v>
      </c>
      <c r="AC33" s="2">
        <f>SUMIFS(Gastos!$J$9:$J$4091, Gastos!$L$9:$L$4091, $AC$3, Gastos!$M$9:$M$4091, $AC$4, Gastos!$D$9:$D$4091, Q33)</f>
        <v>0</v>
      </c>
      <c r="AD33" s="2">
        <f t="shared" si="7"/>
        <v>0</v>
      </c>
      <c r="AK33" s="19" t="e">
        <f>#REF!</f>
        <v>#REF!</v>
      </c>
      <c r="AL33" s="2" t="e">
        <f>#REF!</f>
        <v>#REF!</v>
      </c>
      <c r="AM33" s="2" t="e">
        <f>#REF!</f>
        <v>#REF!</v>
      </c>
      <c r="AN33" s="2" t="e">
        <f t="shared" si="13"/>
        <v>#REF!</v>
      </c>
      <c r="AO33" s="2" t="e">
        <f t="shared" si="14"/>
        <v>#REF!</v>
      </c>
      <c r="AP33" s="2" t="e">
        <f t="shared" si="15"/>
        <v>#REF!</v>
      </c>
    </row>
    <row r="34" spans="2:42">
      <c r="B34" s="2" t="e">
        <f>#REF!</f>
        <v>#REF!</v>
      </c>
      <c r="C34" s="2">
        <f>SUMIFS(Ingresos!$J$9:$J$3900, Ingresos!$L$9:$L$3900, $C$3, Ingresos!$M$9:$M$3900, $C$4, Ingresos!$D$9:$D$3900, B34)</f>
        <v>0</v>
      </c>
      <c r="D34" s="2">
        <f>SUMIFS(Ingresos!$J$9:$J$3900, Ingresos!$L$9:$L$3900, $D$3, Ingresos!$M$9:$M$3900, $D$4, Ingresos!$D$9:$D$3900, B34)</f>
        <v>0</v>
      </c>
      <c r="E34" s="2">
        <f>SUMIFS(Ingresos!$J$9:$J$3900, Ingresos!$L$9:$L$3900, $E$3, Ingresos!$M$9:$M$3900, $E$4, Ingresos!$D$9:$D$3900, B34)</f>
        <v>0</v>
      </c>
      <c r="F34" s="2">
        <f>SUMIFS(Ingresos!$J$9:$J$3900, Ingresos!$L$9:$L$3900, $F$3, Ingresos!$M$9:$M$3900, $F$4, Ingresos!$D$9:$D$3900, B34)</f>
        <v>0</v>
      </c>
      <c r="G34" s="2">
        <f>SUMIFS(Ingresos!$J$9:$J$3900, Ingresos!$L$9:$L$3900, $G$3, Ingresos!$M$9:$M$3900, $G$4, Ingresos!$D$9:$D$3900, B34)</f>
        <v>0</v>
      </c>
      <c r="H34" s="2">
        <f>SUMIFS(Ingresos!$J$9:$J$3900, Ingresos!$L$9:$L$3900, $H$3, Ingresos!$M$9:$M$3900, $H$4, Ingresos!$D$9:$D$3900, B34)</f>
        <v>0</v>
      </c>
      <c r="I34" s="2">
        <f>SUMIFS(Ingresos!$J$9:$J$3900, Ingresos!$L$9:$L$3900, $I$3, Ingresos!$M$9:$M$3900, $I$4, Ingresos!$D$9:$D$3900, B34)</f>
        <v>0</v>
      </c>
      <c r="J34" s="2">
        <f>SUMIFS(Ingresos!$J$9:$J$3900, Ingresos!$L$9:$L$3900, $J$3, Ingresos!$M$9:$M$3900, $J$4, Ingresos!$D$9:$D$3900, B34)</f>
        <v>0</v>
      </c>
      <c r="K34" s="2">
        <f>SUMIFS(Ingresos!$J$9:$J$3900, Ingresos!$L$9:$L$3900, $K$3, Ingresos!$M$9:$M$3900, $K$4, Ingresos!$D$9:$D$3900, B34)</f>
        <v>0</v>
      </c>
      <c r="L34" s="2">
        <f>SUMIFS(Ingresos!$J$9:$J$3900, Ingresos!$L$9:$L$3900, $L$3, Ingresos!$M$9:$M$3900, $L$4, Ingresos!$D$9:$D$3900, B34)</f>
        <v>0</v>
      </c>
      <c r="M34" s="2">
        <f>SUMIFS(Ingresos!$J$9:$J$3900, Ingresos!$L$9:$L$3900, $M$3, Ingresos!$M$9:$M$3900, $M$4, Ingresos!$D$9:$D$3900, B34)</f>
        <v>0</v>
      </c>
      <c r="N34" s="2">
        <f>SUMIFS(Ingresos!$J$9:$J$3900, Ingresos!$L$9:$L$3900, $N$3, Ingresos!$M$9:$M$3900, $N$4, Ingresos!$D$9:$D$3900, B34)</f>
        <v>0</v>
      </c>
      <c r="O34" s="2">
        <f t="shared" si="6"/>
        <v>0</v>
      </c>
      <c r="Q34" s="2" t="e">
        <f>#REF!</f>
        <v>#REF!</v>
      </c>
      <c r="R34" s="2">
        <f>SUMIFS(Gastos!$J$9:$J$4091, Gastos!$L$9:$L$4091, $R$3, Gastos!$M$9:$M$4091, $R$4, Gastos!$D$9:$D$4091, Q34)</f>
        <v>0</v>
      </c>
      <c r="S34" s="2">
        <f>SUMIFS(Gastos!$J$9:$J$4091, Gastos!$L$9:$L$4091, $S$3, Gastos!$M$9:$M$4091, $S$4, Gastos!$D$9:$D$4091, Q34)</f>
        <v>0</v>
      </c>
      <c r="T34" s="2">
        <f>SUMIFS(Gastos!$J$9:$J$4091, Gastos!$L$9:$L$4091, $T$3, Gastos!$M$9:$M$4091, $T$4, Gastos!$D$9:$D$4091, Q34)</f>
        <v>0</v>
      </c>
      <c r="U34" s="2">
        <f>SUMIFS(Gastos!$J$9:$J$4091, Gastos!$L$9:$L$4091, $U$3, Gastos!$M$9:$M$4091, $U$4, Gastos!$D$9:$D$4091, Q34)</f>
        <v>0</v>
      </c>
      <c r="V34" s="2">
        <f>SUMIFS(Gastos!$J$9:$J$4091, Gastos!$L$9:$L$4091, $V$3, Gastos!$M$9:$M$4091, $V$4, Gastos!$D$9:$D$4091, Q34)</f>
        <v>0</v>
      </c>
      <c r="W34" s="2">
        <f>SUMIFS(Gastos!$J$9:$J$4091, Gastos!$L$9:$L$4091, $W$3, Gastos!$M$9:$M$4091, $W$4, Gastos!$D$9:$D$4091, Q34)</f>
        <v>0</v>
      </c>
      <c r="X34" s="2">
        <f>SUMIFS(Gastos!$J$9:$J$4091, Gastos!$L$9:$L$4091, $X$3, Gastos!$M$9:$M$4091, $X$4, Gastos!$D$9:$D$4091, Q34)</f>
        <v>0</v>
      </c>
      <c r="Y34" s="2">
        <f>SUMIFS(Gastos!$J$9:$J$4091, Gastos!$L$9:$L$4091, $Y$3, Gastos!$M$9:$M$4091, $Y$4, Gastos!$D$9:$D$4091, Q34)</f>
        <v>0</v>
      </c>
      <c r="Z34" s="2">
        <f>SUMIFS(Gastos!$J$9:$J$4091, Gastos!$L$9:$L$4091, $Z$3, Gastos!$M$9:$M$4091, $Z$4, Gastos!$D$9:$D$4091, Q34)</f>
        <v>0</v>
      </c>
      <c r="AA34" s="2">
        <f>SUMIFS(Gastos!$J$9:$J$4091, Gastos!$L$9:$L$4091, $AA$3, Gastos!$M$9:$M$4091, $AA$4, Gastos!$D$9:$D$4091, Q34)</f>
        <v>0</v>
      </c>
      <c r="AB34" s="2">
        <f>SUMIFS(Gastos!$J$9:$J$4091, Gastos!$L$9:$L$4091, $AB$3, Gastos!$M$9:$M$4091, $AB$4, Gastos!$D$9:$D$4091, Q34)</f>
        <v>0</v>
      </c>
      <c r="AC34" s="2">
        <f>SUMIFS(Gastos!$J$9:$J$4091, Gastos!$L$9:$L$4091, $AC$3, Gastos!$M$9:$M$4091, $AC$4, Gastos!$D$9:$D$4091, Q34)</f>
        <v>0</v>
      </c>
      <c r="AD34" s="2">
        <f t="shared" si="7"/>
        <v>0</v>
      </c>
      <c r="AK34" s="19" t="e">
        <f>#REF!</f>
        <v>#REF!</v>
      </c>
      <c r="AL34" s="2" t="e">
        <f>#REF!</f>
        <v>#REF!</v>
      </c>
      <c r="AM34" s="2" t="e">
        <f>#REF!</f>
        <v>#REF!</v>
      </c>
      <c r="AN34" s="2" t="e">
        <f t="shared" si="13"/>
        <v>#REF!</v>
      </c>
      <c r="AO34" s="2" t="e">
        <f t="shared" si="14"/>
        <v>#REF!</v>
      </c>
      <c r="AP34" s="2" t="e">
        <f t="shared" si="15"/>
        <v>#REF!</v>
      </c>
    </row>
    <row r="35" spans="2:42">
      <c r="B35" s="2" t="e">
        <f>#REF!</f>
        <v>#REF!</v>
      </c>
      <c r="C35" s="2">
        <f>SUMIFS(Ingresos!$J$9:$J$3900, Ingresos!$L$9:$L$3900, $C$3, Ingresos!$M$9:$M$3900, $C$4, Ingresos!$D$9:$D$3900, B35)</f>
        <v>0</v>
      </c>
      <c r="D35" s="2">
        <f>SUMIFS(Ingresos!$J$9:$J$3900, Ingresos!$L$9:$L$3900, $D$3, Ingresos!$M$9:$M$3900, $D$4, Ingresos!$D$9:$D$3900, B35)</f>
        <v>0</v>
      </c>
      <c r="E35" s="2">
        <f>SUMIFS(Ingresos!$J$9:$J$3900, Ingresos!$L$9:$L$3900, $E$3, Ingresos!$M$9:$M$3900, $E$4, Ingresos!$D$9:$D$3900, B35)</f>
        <v>0</v>
      </c>
      <c r="F35" s="2">
        <f>SUMIFS(Ingresos!$J$9:$J$3900, Ingresos!$L$9:$L$3900, $F$3, Ingresos!$M$9:$M$3900, $F$4, Ingresos!$D$9:$D$3900, B35)</f>
        <v>0</v>
      </c>
      <c r="G35" s="2">
        <f>SUMIFS(Ingresos!$J$9:$J$3900, Ingresos!$L$9:$L$3900, $G$3, Ingresos!$M$9:$M$3900, $G$4, Ingresos!$D$9:$D$3900, B35)</f>
        <v>0</v>
      </c>
      <c r="H35" s="2">
        <f>SUMIFS(Ingresos!$J$9:$J$3900, Ingresos!$L$9:$L$3900, $H$3, Ingresos!$M$9:$M$3900, $H$4, Ingresos!$D$9:$D$3900, B35)</f>
        <v>0</v>
      </c>
      <c r="I35" s="2">
        <f>SUMIFS(Ingresos!$J$9:$J$3900, Ingresos!$L$9:$L$3900, $I$3, Ingresos!$M$9:$M$3900, $I$4, Ingresos!$D$9:$D$3900, B35)</f>
        <v>0</v>
      </c>
      <c r="J35" s="2">
        <f>SUMIFS(Ingresos!$J$9:$J$3900, Ingresos!$L$9:$L$3900, $J$3, Ingresos!$M$9:$M$3900, $J$4, Ingresos!$D$9:$D$3900, B35)</f>
        <v>0</v>
      </c>
      <c r="K35" s="2">
        <f>SUMIFS(Ingresos!$J$9:$J$3900, Ingresos!$L$9:$L$3900, $K$3, Ingresos!$M$9:$M$3900, $K$4, Ingresos!$D$9:$D$3900, B35)</f>
        <v>0</v>
      </c>
      <c r="L35" s="2">
        <f>SUMIFS(Ingresos!$J$9:$J$3900, Ingresos!$L$9:$L$3900, $L$3, Ingresos!$M$9:$M$3900, $L$4, Ingresos!$D$9:$D$3900, B35)</f>
        <v>0</v>
      </c>
      <c r="M35" s="2">
        <f>SUMIFS(Ingresos!$J$9:$J$3900, Ingresos!$L$9:$L$3900, $M$3, Ingresos!$M$9:$M$3900, $M$4, Ingresos!$D$9:$D$3900, B35)</f>
        <v>0</v>
      </c>
      <c r="N35" s="2">
        <f>SUMIFS(Ingresos!$J$9:$J$3900, Ingresos!$L$9:$L$3900, $N$3, Ingresos!$M$9:$M$3900, $N$4, Ingresos!$D$9:$D$3900, B35)</f>
        <v>0</v>
      </c>
      <c r="O35" s="2">
        <f t="shared" si="6"/>
        <v>0</v>
      </c>
      <c r="Q35" s="2" t="e">
        <f>#REF!</f>
        <v>#REF!</v>
      </c>
      <c r="R35" s="2">
        <f>SUMIFS(Gastos!$J$9:$J$4091, Gastos!$L$9:$L$4091, $R$3, Gastos!$M$9:$M$4091, $R$4, Gastos!$D$9:$D$4091, Q35)</f>
        <v>0</v>
      </c>
      <c r="S35" s="2">
        <f>SUMIFS(Gastos!$J$9:$J$4091, Gastos!$L$9:$L$4091, $S$3, Gastos!$M$9:$M$4091, $S$4, Gastos!$D$9:$D$4091, Q35)</f>
        <v>0</v>
      </c>
      <c r="T35" s="2">
        <f>SUMIFS(Gastos!$J$9:$J$4091, Gastos!$L$9:$L$4091, $T$3, Gastos!$M$9:$M$4091, $T$4, Gastos!$D$9:$D$4091, Q35)</f>
        <v>0</v>
      </c>
      <c r="U35" s="2">
        <f>SUMIFS(Gastos!$J$9:$J$4091, Gastos!$L$9:$L$4091, $U$3, Gastos!$M$9:$M$4091, $U$4, Gastos!$D$9:$D$4091, Q35)</f>
        <v>0</v>
      </c>
      <c r="V35" s="2">
        <f>SUMIFS(Gastos!$J$9:$J$4091, Gastos!$L$9:$L$4091, $V$3, Gastos!$M$9:$M$4091, $V$4, Gastos!$D$9:$D$4091, Q35)</f>
        <v>0</v>
      </c>
      <c r="W35" s="2">
        <f>SUMIFS(Gastos!$J$9:$J$4091, Gastos!$L$9:$L$4091, $W$3, Gastos!$M$9:$M$4091, $W$4, Gastos!$D$9:$D$4091, Q35)</f>
        <v>0</v>
      </c>
      <c r="X35" s="2">
        <f>SUMIFS(Gastos!$J$9:$J$4091, Gastos!$L$9:$L$4091, $X$3, Gastos!$M$9:$M$4091, $X$4, Gastos!$D$9:$D$4091, Q35)</f>
        <v>0</v>
      </c>
      <c r="Y35" s="2">
        <f>SUMIFS(Gastos!$J$9:$J$4091, Gastos!$L$9:$L$4091, $Y$3, Gastos!$M$9:$M$4091, $Y$4, Gastos!$D$9:$D$4091, Q35)</f>
        <v>0</v>
      </c>
      <c r="Z35" s="2">
        <f>SUMIFS(Gastos!$J$9:$J$4091, Gastos!$L$9:$L$4091, $Z$3, Gastos!$M$9:$M$4091, $Z$4, Gastos!$D$9:$D$4091, Q35)</f>
        <v>0</v>
      </c>
      <c r="AA35" s="2">
        <f>SUMIFS(Gastos!$J$9:$J$4091, Gastos!$L$9:$L$4091, $AA$3, Gastos!$M$9:$M$4091, $AA$4, Gastos!$D$9:$D$4091, Q35)</f>
        <v>0</v>
      </c>
      <c r="AB35" s="2">
        <f>SUMIFS(Gastos!$J$9:$J$4091, Gastos!$L$9:$L$4091, $AB$3, Gastos!$M$9:$M$4091, $AB$4, Gastos!$D$9:$D$4091, Q35)</f>
        <v>0</v>
      </c>
      <c r="AC35" s="2">
        <f>SUMIFS(Gastos!$J$9:$J$4091, Gastos!$L$9:$L$4091, $AC$3, Gastos!$M$9:$M$4091, $AC$4, Gastos!$D$9:$D$4091, Q35)</f>
        <v>0</v>
      </c>
      <c r="AD35" s="2">
        <f t="shared" si="7"/>
        <v>0</v>
      </c>
      <c r="AK35" s="19" t="e">
        <f>#REF!</f>
        <v>#REF!</v>
      </c>
      <c r="AL35" s="2" t="e">
        <f>#REF!</f>
        <v>#REF!</v>
      </c>
      <c r="AM35" s="2" t="e">
        <f>#REF!</f>
        <v>#REF!</v>
      </c>
      <c r="AN35" s="2" t="e">
        <f t="shared" si="13"/>
        <v>#REF!</v>
      </c>
      <c r="AO35" s="2" t="e">
        <f t="shared" si="14"/>
        <v>#REF!</v>
      </c>
      <c r="AP35" s="2" t="e">
        <f t="shared" si="15"/>
        <v>#REF!</v>
      </c>
    </row>
    <row r="36" spans="2:42">
      <c r="B36" s="2" t="e">
        <f>#REF!</f>
        <v>#REF!</v>
      </c>
      <c r="C36" s="2">
        <f>SUMIFS(Ingresos!$J$9:$J$3900, Ingresos!$L$9:$L$3900, $C$3, Ingresos!$M$9:$M$3900, $C$4, Ingresos!$D$9:$D$3900, B36)</f>
        <v>0</v>
      </c>
      <c r="D36" s="2">
        <f>SUMIFS(Ingresos!$J$9:$J$3900, Ingresos!$L$9:$L$3900, $D$3, Ingresos!$M$9:$M$3900, $D$4, Ingresos!$D$9:$D$3900, B36)</f>
        <v>0</v>
      </c>
      <c r="E36" s="2">
        <f>SUMIFS(Ingresos!$J$9:$J$3900, Ingresos!$L$9:$L$3900, $E$3, Ingresos!$M$9:$M$3900, $E$4, Ingresos!$D$9:$D$3900, B36)</f>
        <v>0</v>
      </c>
      <c r="F36" s="2">
        <f>SUMIFS(Ingresos!$J$9:$J$3900, Ingresos!$L$9:$L$3900, $F$3, Ingresos!$M$9:$M$3900, $F$4, Ingresos!$D$9:$D$3900, B36)</f>
        <v>0</v>
      </c>
      <c r="G36" s="2">
        <f>SUMIFS(Ingresos!$J$9:$J$3900, Ingresos!$L$9:$L$3900, $G$3, Ingresos!$M$9:$M$3900, $G$4, Ingresos!$D$9:$D$3900, B36)</f>
        <v>0</v>
      </c>
      <c r="H36" s="2">
        <f>SUMIFS(Ingresos!$J$9:$J$3900, Ingresos!$L$9:$L$3900, $H$3, Ingresos!$M$9:$M$3900, $H$4, Ingresos!$D$9:$D$3900, B36)</f>
        <v>0</v>
      </c>
      <c r="I36" s="2">
        <f>SUMIFS(Ingresos!$J$9:$J$3900, Ingresos!$L$9:$L$3900, $I$3, Ingresos!$M$9:$M$3900, $I$4, Ingresos!$D$9:$D$3900, B36)</f>
        <v>0</v>
      </c>
      <c r="J36" s="2">
        <f>SUMIFS(Ingresos!$J$9:$J$3900, Ingresos!$L$9:$L$3900, $J$3, Ingresos!$M$9:$M$3900, $J$4, Ingresos!$D$9:$D$3900, B36)</f>
        <v>0</v>
      </c>
      <c r="K36" s="2">
        <f>SUMIFS(Ingresos!$J$9:$J$3900, Ingresos!$L$9:$L$3900, $K$3, Ingresos!$M$9:$M$3900, $K$4, Ingresos!$D$9:$D$3900, B36)</f>
        <v>0</v>
      </c>
      <c r="L36" s="2">
        <f>SUMIFS(Ingresos!$J$9:$J$3900, Ingresos!$L$9:$L$3900, $L$3, Ingresos!$M$9:$M$3900, $L$4, Ingresos!$D$9:$D$3900, B36)</f>
        <v>0</v>
      </c>
      <c r="M36" s="2">
        <f>SUMIFS(Ingresos!$J$9:$J$3900, Ingresos!$L$9:$L$3900, $M$3, Ingresos!$M$9:$M$3900, $M$4, Ingresos!$D$9:$D$3900, B36)</f>
        <v>0</v>
      </c>
      <c r="N36" s="2">
        <f>SUMIFS(Ingresos!$J$9:$J$3900, Ingresos!$L$9:$L$3900, $N$3, Ingresos!$M$9:$M$3900, $N$4, Ingresos!$D$9:$D$3900, B36)</f>
        <v>0</v>
      </c>
      <c r="O36" s="2">
        <f t="shared" si="6"/>
        <v>0</v>
      </c>
      <c r="Q36" s="2" t="e">
        <f>#REF!</f>
        <v>#REF!</v>
      </c>
      <c r="R36" s="2">
        <f>SUMIFS(Gastos!$J$9:$J$4091, Gastos!$L$9:$L$4091, $R$3, Gastos!$M$9:$M$4091, $R$4, Gastos!$D$9:$D$4091, Q36)</f>
        <v>0</v>
      </c>
      <c r="S36" s="2">
        <f>SUMIFS(Gastos!$J$9:$J$4091, Gastos!$L$9:$L$4091, $S$3, Gastos!$M$9:$M$4091, $S$4, Gastos!$D$9:$D$4091, Q36)</f>
        <v>0</v>
      </c>
      <c r="T36" s="2">
        <f>SUMIFS(Gastos!$J$9:$J$4091, Gastos!$L$9:$L$4091, $T$3, Gastos!$M$9:$M$4091, $T$4, Gastos!$D$9:$D$4091, Q36)</f>
        <v>0</v>
      </c>
      <c r="U36" s="2">
        <f>SUMIFS(Gastos!$J$9:$J$4091, Gastos!$L$9:$L$4091, $U$3, Gastos!$M$9:$M$4091, $U$4, Gastos!$D$9:$D$4091, Q36)</f>
        <v>0</v>
      </c>
      <c r="V36" s="2">
        <f>SUMIFS(Gastos!$J$9:$J$4091, Gastos!$L$9:$L$4091, $V$3, Gastos!$M$9:$M$4091, $V$4, Gastos!$D$9:$D$4091, Q36)</f>
        <v>0</v>
      </c>
      <c r="W36" s="2">
        <f>SUMIFS(Gastos!$J$9:$J$4091, Gastos!$L$9:$L$4091, $W$3, Gastos!$M$9:$M$4091, $W$4, Gastos!$D$9:$D$4091, Q36)</f>
        <v>0</v>
      </c>
      <c r="X36" s="2">
        <f>SUMIFS(Gastos!$J$9:$J$4091, Gastos!$L$9:$L$4091, $X$3, Gastos!$M$9:$M$4091, $X$4, Gastos!$D$9:$D$4091, Q36)</f>
        <v>0</v>
      </c>
      <c r="Y36" s="2">
        <f>SUMIFS(Gastos!$J$9:$J$4091, Gastos!$L$9:$L$4091, $Y$3, Gastos!$M$9:$M$4091, $Y$4, Gastos!$D$9:$D$4091, Q36)</f>
        <v>0</v>
      </c>
      <c r="Z36" s="2">
        <f>SUMIFS(Gastos!$J$9:$J$4091, Gastos!$L$9:$L$4091, $Z$3, Gastos!$M$9:$M$4091, $Z$4, Gastos!$D$9:$D$4091, Q36)</f>
        <v>0</v>
      </c>
      <c r="AA36" s="2">
        <f>SUMIFS(Gastos!$J$9:$J$4091, Gastos!$L$9:$L$4091, $AA$3, Gastos!$M$9:$M$4091, $AA$4, Gastos!$D$9:$D$4091, Q36)</f>
        <v>0</v>
      </c>
      <c r="AB36" s="2">
        <f>SUMIFS(Gastos!$J$9:$J$4091, Gastos!$L$9:$L$4091, $AB$3, Gastos!$M$9:$M$4091, $AB$4, Gastos!$D$9:$D$4091, Q36)</f>
        <v>0</v>
      </c>
      <c r="AC36" s="2">
        <f>SUMIFS(Gastos!$J$9:$J$4091, Gastos!$L$9:$L$4091, $AC$3, Gastos!$M$9:$M$4091, $AC$4, Gastos!$D$9:$D$4091, Q36)</f>
        <v>0</v>
      </c>
      <c r="AD36" s="2">
        <f t="shared" si="7"/>
        <v>0</v>
      </c>
      <c r="AK36" s="19" t="e">
        <f>#REF!</f>
        <v>#REF!</v>
      </c>
      <c r="AL36" s="2" t="e">
        <f>#REF!</f>
        <v>#REF!</v>
      </c>
      <c r="AM36" s="2" t="e">
        <f>#REF!</f>
        <v>#REF!</v>
      </c>
      <c r="AN36" s="2" t="e">
        <f t="shared" si="13"/>
        <v>#REF!</v>
      </c>
      <c r="AO36" s="2" t="e">
        <f t="shared" si="14"/>
        <v>#REF!</v>
      </c>
      <c r="AP36" s="2" t="e">
        <f t="shared" si="15"/>
        <v>#REF!</v>
      </c>
    </row>
    <row r="37" spans="2:42">
      <c r="B37" s="2" t="e">
        <f>#REF!</f>
        <v>#REF!</v>
      </c>
      <c r="C37" s="2">
        <f>SUMIFS(Ingresos!$J$9:$J$3900, Ingresos!$L$9:$L$3900, $C$3, Ingresos!$M$9:$M$3900, $C$4, Ingresos!$D$9:$D$3900, B37)</f>
        <v>0</v>
      </c>
      <c r="D37" s="2">
        <f>SUMIFS(Ingresos!$J$9:$J$3900, Ingresos!$L$9:$L$3900, $D$3, Ingresos!$M$9:$M$3900, $D$4, Ingresos!$D$9:$D$3900, B37)</f>
        <v>0</v>
      </c>
      <c r="E37" s="2">
        <f>SUMIFS(Ingresos!$J$9:$J$3900, Ingresos!$L$9:$L$3900, $E$3, Ingresos!$M$9:$M$3900, $E$4, Ingresos!$D$9:$D$3900, B37)</f>
        <v>0</v>
      </c>
      <c r="F37" s="2">
        <f>SUMIFS(Ingresos!$J$9:$J$3900, Ingresos!$L$9:$L$3900, $F$3, Ingresos!$M$9:$M$3900, $F$4, Ingresos!$D$9:$D$3900, B37)</f>
        <v>0</v>
      </c>
      <c r="G37" s="2">
        <f>SUMIFS(Ingresos!$J$9:$J$3900, Ingresos!$L$9:$L$3900, $G$3, Ingresos!$M$9:$M$3900, $G$4, Ingresos!$D$9:$D$3900, B37)</f>
        <v>0</v>
      </c>
      <c r="H37" s="2">
        <f>SUMIFS(Ingresos!$J$9:$J$3900, Ingresos!$L$9:$L$3900, $H$3, Ingresos!$M$9:$M$3900, $H$4, Ingresos!$D$9:$D$3900, B37)</f>
        <v>0</v>
      </c>
      <c r="I37" s="2">
        <f>SUMIFS(Ingresos!$J$9:$J$3900, Ingresos!$L$9:$L$3900, $I$3, Ingresos!$M$9:$M$3900, $I$4, Ingresos!$D$9:$D$3900, B37)</f>
        <v>0</v>
      </c>
      <c r="J37" s="2">
        <f>SUMIFS(Ingresos!$J$9:$J$3900, Ingresos!$L$9:$L$3900, $J$3, Ingresos!$M$9:$M$3900, $J$4, Ingresos!$D$9:$D$3900, B37)</f>
        <v>0</v>
      </c>
      <c r="K37" s="2">
        <f>SUMIFS(Ingresos!$J$9:$J$3900, Ingresos!$L$9:$L$3900, $K$3, Ingresos!$M$9:$M$3900, $K$4, Ingresos!$D$9:$D$3900, B37)</f>
        <v>0</v>
      </c>
      <c r="L37" s="2">
        <f>SUMIFS(Ingresos!$J$9:$J$3900, Ingresos!$L$9:$L$3900, $L$3, Ingresos!$M$9:$M$3900, $L$4, Ingresos!$D$9:$D$3900, B37)</f>
        <v>0</v>
      </c>
      <c r="M37" s="2">
        <f>SUMIFS(Ingresos!$J$9:$J$3900, Ingresos!$L$9:$L$3900, $M$3, Ingresos!$M$9:$M$3900, $M$4, Ingresos!$D$9:$D$3900, B37)</f>
        <v>0</v>
      </c>
      <c r="N37" s="2">
        <f>SUMIFS(Ingresos!$J$9:$J$3900, Ingresos!$L$9:$L$3900, $N$3, Ingresos!$M$9:$M$3900, $N$4, Ingresos!$D$9:$D$3900, B37)</f>
        <v>0</v>
      </c>
      <c r="O37" s="2">
        <f t="shared" si="6"/>
        <v>0</v>
      </c>
      <c r="Q37" s="2" t="e">
        <f>#REF!</f>
        <v>#REF!</v>
      </c>
      <c r="R37" s="2">
        <f>SUMIFS(Gastos!$J$9:$J$4091, Gastos!$L$9:$L$4091, $R$3, Gastos!$M$9:$M$4091, $R$4, Gastos!$D$9:$D$4091, Q37)</f>
        <v>0</v>
      </c>
      <c r="S37" s="2">
        <f>SUMIFS(Gastos!$J$9:$J$4091, Gastos!$L$9:$L$4091, $S$3, Gastos!$M$9:$M$4091, $S$4, Gastos!$D$9:$D$4091, Q37)</f>
        <v>0</v>
      </c>
      <c r="T37" s="2">
        <f>SUMIFS(Gastos!$J$9:$J$4091, Gastos!$L$9:$L$4091, $T$3, Gastos!$M$9:$M$4091, $T$4, Gastos!$D$9:$D$4091, Q37)</f>
        <v>0</v>
      </c>
      <c r="U37" s="2">
        <f>SUMIFS(Gastos!$J$9:$J$4091, Gastos!$L$9:$L$4091, $U$3, Gastos!$M$9:$M$4091, $U$4, Gastos!$D$9:$D$4091, Q37)</f>
        <v>0</v>
      </c>
      <c r="V37" s="2">
        <f>SUMIFS(Gastos!$J$9:$J$4091, Gastos!$L$9:$L$4091, $V$3, Gastos!$M$9:$M$4091, $V$4, Gastos!$D$9:$D$4091, Q37)</f>
        <v>0</v>
      </c>
      <c r="W37" s="2">
        <f>SUMIFS(Gastos!$J$9:$J$4091, Gastos!$L$9:$L$4091, $W$3, Gastos!$M$9:$M$4091, $W$4, Gastos!$D$9:$D$4091, Q37)</f>
        <v>0</v>
      </c>
      <c r="X37" s="2">
        <f>SUMIFS(Gastos!$J$9:$J$4091, Gastos!$L$9:$L$4091, $X$3, Gastos!$M$9:$M$4091, $X$4, Gastos!$D$9:$D$4091, Q37)</f>
        <v>0</v>
      </c>
      <c r="Y37" s="2">
        <f>SUMIFS(Gastos!$J$9:$J$4091, Gastos!$L$9:$L$4091, $Y$3, Gastos!$M$9:$M$4091, $Y$4, Gastos!$D$9:$D$4091, Q37)</f>
        <v>0</v>
      </c>
      <c r="Z37" s="2">
        <f>SUMIFS(Gastos!$J$9:$J$4091, Gastos!$L$9:$L$4091, $Z$3, Gastos!$M$9:$M$4091, $Z$4, Gastos!$D$9:$D$4091, Q37)</f>
        <v>0</v>
      </c>
      <c r="AA37" s="2">
        <f>SUMIFS(Gastos!$J$9:$J$4091, Gastos!$L$9:$L$4091, $AA$3, Gastos!$M$9:$M$4091, $AA$4, Gastos!$D$9:$D$4091, Q37)</f>
        <v>0</v>
      </c>
      <c r="AB37" s="2">
        <f>SUMIFS(Gastos!$J$9:$J$4091, Gastos!$L$9:$L$4091, $AB$3, Gastos!$M$9:$M$4091, $AB$4, Gastos!$D$9:$D$4091, Q37)</f>
        <v>0</v>
      </c>
      <c r="AC37" s="2">
        <f>SUMIFS(Gastos!$J$9:$J$4091, Gastos!$L$9:$L$4091, $AC$3, Gastos!$M$9:$M$4091, $AC$4, Gastos!$D$9:$D$4091, Q37)</f>
        <v>0</v>
      </c>
      <c r="AD37" s="2">
        <f t="shared" si="7"/>
        <v>0</v>
      </c>
      <c r="AK37" s="19" t="e">
        <f>#REF!</f>
        <v>#REF!</v>
      </c>
      <c r="AL37" s="2" t="e">
        <f>#REF!</f>
        <v>#REF!</v>
      </c>
      <c r="AM37" s="2" t="e">
        <f>#REF!</f>
        <v>#REF!</v>
      </c>
      <c r="AN37" s="2" t="e">
        <f t="shared" si="13"/>
        <v>#REF!</v>
      </c>
      <c r="AO37" s="2" t="e">
        <f t="shared" si="14"/>
        <v>#REF!</v>
      </c>
      <c r="AP37" s="2" t="e">
        <f t="shared" si="15"/>
        <v>#REF!</v>
      </c>
    </row>
    <row r="38" spans="2:42">
      <c r="B38" s="2" t="e">
        <f>#REF!</f>
        <v>#REF!</v>
      </c>
      <c r="C38" s="2">
        <f>SUMIFS(Ingresos!$J$9:$J$3900, Ingresos!$L$9:$L$3900, $C$3, Ingresos!$M$9:$M$3900, $C$4, Ingresos!$D$9:$D$3900, B38)</f>
        <v>0</v>
      </c>
      <c r="D38" s="2">
        <f>SUMIFS(Ingresos!$J$9:$J$3900, Ingresos!$L$9:$L$3900, $D$3, Ingresos!$M$9:$M$3900, $D$4, Ingresos!$D$9:$D$3900, B38)</f>
        <v>0</v>
      </c>
      <c r="E38" s="2">
        <f>SUMIFS(Ingresos!$J$9:$J$3900, Ingresos!$L$9:$L$3900, $E$3, Ingresos!$M$9:$M$3900, $E$4, Ingresos!$D$9:$D$3900, B38)</f>
        <v>0</v>
      </c>
      <c r="F38" s="2">
        <f>SUMIFS(Ingresos!$J$9:$J$3900, Ingresos!$L$9:$L$3900, $F$3, Ingresos!$M$9:$M$3900, $F$4, Ingresos!$D$9:$D$3900, B38)</f>
        <v>0</v>
      </c>
      <c r="G38" s="2">
        <f>SUMIFS(Ingresos!$J$9:$J$3900, Ingresos!$L$9:$L$3900, $G$3, Ingresos!$M$9:$M$3900, $G$4, Ingresos!$D$9:$D$3900, B38)</f>
        <v>0</v>
      </c>
      <c r="H38" s="2">
        <f>SUMIFS(Ingresos!$J$9:$J$3900, Ingresos!$L$9:$L$3900, $H$3, Ingresos!$M$9:$M$3900, $H$4, Ingresos!$D$9:$D$3900, B38)</f>
        <v>0</v>
      </c>
      <c r="I38" s="2">
        <f>SUMIFS(Ingresos!$J$9:$J$3900, Ingresos!$L$9:$L$3900, $I$3, Ingresos!$M$9:$M$3900, $I$4, Ingresos!$D$9:$D$3900, B38)</f>
        <v>0</v>
      </c>
      <c r="J38" s="2">
        <f>SUMIFS(Ingresos!$J$9:$J$3900, Ingresos!$L$9:$L$3900, $J$3, Ingresos!$M$9:$M$3900, $J$4, Ingresos!$D$9:$D$3900, B38)</f>
        <v>0</v>
      </c>
      <c r="K38" s="2">
        <f>SUMIFS(Ingresos!$J$9:$J$3900, Ingresos!$L$9:$L$3900, $K$3, Ingresos!$M$9:$M$3900, $K$4, Ingresos!$D$9:$D$3900, B38)</f>
        <v>0</v>
      </c>
      <c r="L38" s="2">
        <f>SUMIFS(Ingresos!$J$9:$J$3900, Ingresos!$L$9:$L$3900, $L$3, Ingresos!$M$9:$M$3900, $L$4, Ingresos!$D$9:$D$3900, B38)</f>
        <v>0</v>
      </c>
      <c r="M38" s="2">
        <f>SUMIFS(Ingresos!$J$9:$J$3900, Ingresos!$L$9:$L$3900, $M$3, Ingresos!$M$9:$M$3900, $M$4, Ingresos!$D$9:$D$3900, B38)</f>
        <v>0</v>
      </c>
      <c r="N38" s="2">
        <f>SUMIFS(Ingresos!$J$9:$J$3900, Ingresos!$L$9:$L$3900, $N$3, Ingresos!$M$9:$M$3900, $N$4, Ingresos!$D$9:$D$3900, B38)</f>
        <v>0</v>
      </c>
      <c r="O38" s="2">
        <f t="shared" si="6"/>
        <v>0</v>
      </c>
      <c r="Q38" s="2" t="e">
        <f>#REF!</f>
        <v>#REF!</v>
      </c>
      <c r="R38" s="2">
        <f>SUMIFS(Gastos!$J$9:$J$4091, Gastos!$L$9:$L$4091, $R$3, Gastos!$M$9:$M$4091, $R$4, Gastos!$D$9:$D$4091, Q38)</f>
        <v>0</v>
      </c>
      <c r="S38" s="2">
        <f>SUMIFS(Gastos!$J$9:$J$4091, Gastos!$L$9:$L$4091, $S$3, Gastos!$M$9:$M$4091, $S$4, Gastos!$D$9:$D$4091, Q38)</f>
        <v>0</v>
      </c>
      <c r="T38" s="2">
        <f>SUMIFS(Gastos!$J$9:$J$4091, Gastos!$L$9:$L$4091, $T$3, Gastos!$M$9:$M$4091, $T$4, Gastos!$D$9:$D$4091, Q38)</f>
        <v>0</v>
      </c>
      <c r="U38" s="2">
        <f>SUMIFS(Gastos!$J$9:$J$4091, Gastos!$L$9:$L$4091, $U$3, Gastos!$M$9:$M$4091, $U$4, Gastos!$D$9:$D$4091, Q38)</f>
        <v>0</v>
      </c>
      <c r="V38" s="2">
        <f>SUMIFS(Gastos!$J$9:$J$4091, Gastos!$L$9:$L$4091, $V$3, Gastos!$M$9:$M$4091, $V$4, Gastos!$D$9:$D$4091, Q38)</f>
        <v>0</v>
      </c>
      <c r="W38" s="2">
        <f>SUMIFS(Gastos!$J$9:$J$4091, Gastos!$L$9:$L$4091, $W$3, Gastos!$M$9:$M$4091, $W$4, Gastos!$D$9:$D$4091, Q38)</f>
        <v>0</v>
      </c>
      <c r="X38" s="2">
        <f>SUMIFS(Gastos!$J$9:$J$4091, Gastos!$L$9:$L$4091, $X$3, Gastos!$M$9:$M$4091, $X$4, Gastos!$D$9:$D$4091, Q38)</f>
        <v>0</v>
      </c>
      <c r="Y38" s="2">
        <f>SUMIFS(Gastos!$J$9:$J$4091, Gastos!$L$9:$L$4091, $Y$3, Gastos!$M$9:$M$4091, $Y$4, Gastos!$D$9:$D$4091, Q38)</f>
        <v>0</v>
      </c>
      <c r="Z38" s="2">
        <f>SUMIFS(Gastos!$J$9:$J$4091, Gastos!$L$9:$L$4091, $Z$3, Gastos!$M$9:$M$4091, $Z$4, Gastos!$D$9:$D$4091, Q38)</f>
        <v>0</v>
      </c>
      <c r="AA38" s="2">
        <f>SUMIFS(Gastos!$J$9:$J$4091, Gastos!$L$9:$L$4091, $AA$3, Gastos!$M$9:$M$4091, $AA$4, Gastos!$D$9:$D$4091, Q38)</f>
        <v>0</v>
      </c>
      <c r="AB38" s="2">
        <f>SUMIFS(Gastos!$J$9:$J$4091, Gastos!$L$9:$L$4091, $AB$3, Gastos!$M$9:$M$4091, $AB$4, Gastos!$D$9:$D$4091, Q38)</f>
        <v>0</v>
      </c>
      <c r="AC38" s="2">
        <f>SUMIFS(Gastos!$J$9:$J$4091, Gastos!$L$9:$L$4091, $AC$3, Gastos!$M$9:$M$4091, $AC$4, Gastos!$D$9:$D$4091, Q38)</f>
        <v>0</v>
      </c>
      <c r="AD38" s="2">
        <f t="shared" si="7"/>
        <v>0</v>
      </c>
      <c r="AK38" s="19" t="e">
        <f>#REF!</f>
        <v>#REF!</v>
      </c>
      <c r="AL38" s="2" t="e">
        <f>#REF!</f>
        <v>#REF!</v>
      </c>
      <c r="AM38" s="2" t="e">
        <f>#REF!</f>
        <v>#REF!</v>
      </c>
      <c r="AN38" s="2" t="e">
        <f t="shared" si="13"/>
        <v>#REF!</v>
      </c>
      <c r="AO38" s="2" t="e">
        <f t="shared" si="14"/>
        <v>#REF!</v>
      </c>
      <c r="AP38" s="2" t="e">
        <f t="shared" si="15"/>
        <v>#REF!</v>
      </c>
    </row>
    <row r="39" spans="2:42">
      <c r="B39" s="2" t="e">
        <f>#REF!</f>
        <v>#REF!</v>
      </c>
      <c r="C39" s="2">
        <f>SUMIFS(Ingresos!$J$9:$J$3900, Ingresos!$L$9:$L$3900, $C$3, Ingresos!$M$9:$M$3900, $C$4, Ingresos!$D$9:$D$3900, B39)</f>
        <v>0</v>
      </c>
      <c r="D39" s="2">
        <f>SUMIFS(Ingresos!$J$9:$J$3900, Ingresos!$L$9:$L$3900, $D$3, Ingresos!$M$9:$M$3900, $D$4, Ingresos!$D$9:$D$3900, B39)</f>
        <v>0</v>
      </c>
      <c r="E39" s="2">
        <f>SUMIFS(Ingresos!$J$9:$J$3900, Ingresos!$L$9:$L$3900, $E$3, Ingresos!$M$9:$M$3900, $E$4, Ingresos!$D$9:$D$3900, B39)</f>
        <v>0</v>
      </c>
      <c r="F39" s="2">
        <f>SUMIFS(Ingresos!$J$9:$J$3900, Ingresos!$L$9:$L$3900, $F$3, Ingresos!$M$9:$M$3900, $F$4, Ingresos!$D$9:$D$3900, B39)</f>
        <v>0</v>
      </c>
      <c r="G39" s="2">
        <f>SUMIFS(Ingresos!$J$9:$J$3900, Ingresos!$L$9:$L$3900, $G$3, Ingresos!$M$9:$M$3900, $G$4, Ingresos!$D$9:$D$3900, B39)</f>
        <v>0</v>
      </c>
      <c r="H39" s="2">
        <f>SUMIFS(Ingresos!$J$9:$J$3900, Ingresos!$L$9:$L$3900, $H$3, Ingresos!$M$9:$M$3900, $H$4, Ingresos!$D$9:$D$3900, B39)</f>
        <v>0</v>
      </c>
      <c r="I39" s="2">
        <f>SUMIFS(Ingresos!$J$9:$J$3900, Ingresos!$L$9:$L$3900, $I$3, Ingresos!$M$9:$M$3900, $I$4, Ingresos!$D$9:$D$3900, B39)</f>
        <v>0</v>
      </c>
      <c r="J39" s="2">
        <f>SUMIFS(Ingresos!$J$9:$J$3900, Ingresos!$L$9:$L$3900, $J$3, Ingresos!$M$9:$M$3900, $J$4, Ingresos!$D$9:$D$3900, B39)</f>
        <v>0</v>
      </c>
      <c r="K39" s="2">
        <f>SUMIFS(Ingresos!$J$9:$J$3900, Ingresos!$L$9:$L$3900, $K$3, Ingresos!$M$9:$M$3900, $K$4, Ingresos!$D$9:$D$3900, B39)</f>
        <v>0</v>
      </c>
      <c r="L39" s="2">
        <f>SUMIFS(Ingresos!$J$9:$J$3900, Ingresos!$L$9:$L$3900, $L$3, Ingresos!$M$9:$M$3900, $L$4, Ingresos!$D$9:$D$3900, B39)</f>
        <v>0</v>
      </c>
      <c r="M39" s="2">
        <f>SUMIFS(Ingresos!$J$9:$J$3900, Ingresos!$L$9:$L$3900, $M$3, Ingresos!$M$9:$M$3900, $M$4, Ingresos!$D$9:$D$3900, B39)</f>
        <v>0</v>
      </c>
      <c r="N39" s="2">
        <f>SUMIFS(Ingresos!$J$9:$J$3900, Ingresos!$L$9:$L$3900, $N$3, Ingresos!$M$9:$M$3900, $N$4, Ingresos!$D$9:$D$3900, B39)</f>
        <v>0</v>
      </c>
      <c r="O39" s="2">
        <f t="shared" si="6"/>
        <v>0</v>
      </c>
      <c r="Q39" s="2" t="e">
        <f>#REF!</f>
        <v>#REF!</v>
      </c>
      <c r="R39" s="2">
        <f>SUMIFS(Gastos!$J$9:$J$4091, Gastos!$L$9:$L$4091, $R$3, Gastos!$M$9:$M$4091, $R$4, Gastos!$D$9:$D$4091, Q39)</f>
        <v>0</v>
      </c>
      <c r="S39" s="2">
        <f>SUMIFS(Gastos!$J$9:$J$4091, Gastos!$L$9:$L$4091, $S$3, Gastos!$M$9:$M$4091, $S$4, Gastos!$D$9:$D$4091, Q39)</f>
        <v>0</v>
      </c>
      <c r="T39" s="2">
        <f>SUMIFS(Gastos!$J$9:$J$4091, Gastos!$L$9:$L$4091, $T$3, Gastos!$M$9:$M$4091, $T$4, Gastos!$D$9:$D$4091, Q39)</f>
        <v>0</v>
      </c>
      <c r="U39" s="2">
        <f>SUMIFS(Gastos!$J$9:$J$4091, Gastos!$L$9:$L$4091, $U$3, Gastos!$M$9:$M$4091, $U$4, Gastos!$D$9:$D$4091, Q39)</f>
        <v>0</v>
      </c>
      <c r="V39" s="2">
        <f>SUMIFS(Gastos!$J$9:$J$4091, Gastos!$L$9:$L$4091, $V$3, Gastos!$M$9:$M$4091, $V$4, Gastos!$D$9:$D$4091, Q39)</f>
        <v>0</v>
      </c>
      <c r="W39" s="2">
        <f>SUMIFS(Gastos!$J$9:$J$4091, Gastos!$L$9:$L$4091, $W$3, Gastos!$M$9:$M$4091, $W$4, Gastos!$D$9:$D$4091, Q39)</f>
        <v>0</v>
      </c>
      <c r="X39" s="2">
        <f>SUMIFS(Gastos!$J$9:$J$4091, Gastos!$L$9:$L$4091, $X$3, Gastos!$M$9:$M$4091, $X$4, Gastos!$D$9:$D$4091, Q39)</f>
        <v>0</v>
      </c>
      <c r="Y39" s="2">
        <f>SUMIFS(Gastos!$J$9:$J$4091, Gastos!$L$9:$L$4091, $Y$3, Gastos!$M$9:$M$4091, $Y$4, Gastos!$D$9:$D$4091, Q39)</f>
        <v>0</v>
      </c>
      <c r="Z39" s="2">
        <f>SUMIFS(Gastos!$J$9:$J$4091, Gastos!$L$9:$L$4091, $Z$3, Gastos!$M$9:$M$4091, $Z$4, Gastos!$D$9:$D$4091, Q39)</f>
        <v>0</v>
      </c>
      <c r="AA39" s="2">
        <f>SUMIFS(Gastos!$J$9:$J$4091, Gastos!$L$9:$L$4091, $AA$3, Gastos!$M$9:$M$4091, $AA$4, Gastos!$D$9:$D$4091, Q39)</f>
        <v>0</v>
      </c>
      <c r="AB39" s="2">
        <f>SUMIFS(Gastos!$J$9:$J$4091, Gastos!$L$9:$L$4091, $AB$3, Gastos!$M$9:$M$4091, $AB$4, Gastos!$D$9:$D$4091, Q39)</f>
        <v>0</v>
      </c>
      <c r="AC39" s="2">
        <f>SUMIFS(Gastos!$J$9:$J$4091, Gastos!$L$9:$L$4091, $AC$3, Gastos!$M$9:$M$4091, $AC$4, Gastos!$D$9:$D$4091, Q39)</f>
        <v>0</v>
      </c>
      <c r="AD39" s="2">
        <f t="shared" si="7"/>
        <v>0</v>
      </c>
      <c r="AK39" s="19" t="e">
        <f>#REF!</f>
        <v>#REF!</v>
      </c>
      <c r="AL39" s="2" t="e">
        <f>#REF!</f>
        <v>#REF!</v>
      </c>
      <c r="AM39" s="2" t="e">
        <f>#REF!</f>
        <v>#REF!</v>
      </c>
      <c r="AN39" s="2" t="e">
        <f t="shared" si="13"/>
        <v>#REF!</v>
      </c>
      <c r="AO39" s="2" t="e">
        <f t="shared" si="14"/>
        <v>#REF!</v>
      </c>
      <c r="AP39" s="2" t="e">
        <f t="shared" si="15"/>
        <v>#REF!</v>
      </c>
    </row>
    <row r="40" spans="2:42">
      <c r="B40" s="2" t="e">
        <f>#REF!</f>
        <v>#REF!</v>
      </c>
      <c r="C40" s="2">
        <f>SUMIFS(Ingresos!$J$9:$J$3900, Ingresos!$L$9:$L$3900, $C$3, Ingresos!$M$9:$M$3900, $C$4, Ingresos!$D$9:$D$3900, B40)</f>
        <v>0</v>
      </c>
      <c r="D40" s="2">
        <f>SUMIFS(Ingresos!$J$9:$J$3900, Ingresos!$L$9:$L$3900, $D$3, Ingresos!$M$9:$M$3900, $D$4, Ingresos!$D$9:$D$3900, B40)</f>
        <v>0</v>
      </c>
      <c r="E40" s="2">
        <f>SUMIFS(Ingresos!$J$9:$J$3900, Ingresos!$L$9:$L$3900, $E$3, Ingresos!$M$9:$M$3900, $E$4, Ingresos!$D$9:$D$3900, B40)</f>
        <v>0</v>
      </c>
      <c r="F40" s="2">
        <f>SUMIFS(Ingresos!$J$9:$J$3900, Ingresos!$L$9:$L$3900, $F$3, Ingresos!$M$9:$M$3900, $F$4, Ingresos!$D$9:$D$3900, B40)</f>
        <v>0</v>
      </c>
      <c r="G40" s="2">
        <f>SUMIFS(Ingresos!$J$9:$J$3900, Ingresos!$L$9:$L$3900, $G$3, Ingresos!$M$9:$M$3900, $G$4, Ingresos!$D$9:$D$3900, B40)</f>
        <v>0</v>
      </c>
      <c r="H40" s="2">
        <f>SUMIFS(Ingresos!$J$9:$J$3900, Ingresos!$L$9:$L$3900, $H$3, Ingresos!$M$9:$M$3900, $H$4, Ingresos!$D$9:$D$3900, B40)</f>
        <v>0</v>
      </c>
      <c r="I40" s="2">
        <f>SUMIFS(Ingresos!$J$9:$J$3900, Ingresos!$L$9:$L$3900, $I$3, Ingresos!$M$9:$M$3900, $I$4, Ingresos!$D$9:$D$3900, B40)</f>
        <v>0</v>
      </c>
      <c r="J40" s="2">
        <f>SUMIFS(Ingresos!$J$9:$J$3900, Ingresos!$L$9:$L$3900, $J$3, Ingresos!$M$9:$M$3900, $J$4, Ingresos!$D$9:$D$3900, B40)</f>
        <v>0</v>
      </c>
      <c r="K40" s="2">
        <f>SUMIFS(Ingresos!$J$9:$J$3900, Ingresos!$L$9:$L$3900, $K$3, Ingresos!$M$9:$M$3900, $K$4, Ingresos!$D$9:$D$3900, B40)</f>
        <v>0</v>
      </c>
      <c r="L40" s="2">
        <f>SUMIFS(Ingresos!$J$9:$J$3900, Ingresos!$L$9:$L$3900, $L$3, Ingresos!$M$9:$M$3900, $L$4, Ingresos!$D$9:$D$3900, B40)</f>
        <v>0</v>
      </c>
      <c r="M40" s="2">
        <f>SUMIFS(Ingresos!$J$9:$J$3900, Ingresos!$L$9:$L$3900, $M$3, Ingresos!$M$9:$M$3900, $M$4, Ingresos!$D$9:$D$3900, B40)</f>
        <v>0</v>
      </c>
      <c r="N40" s="2">
        <f>SUMIFS(Ingresos!$J$9:$J$3900, Ingresos!$L$9:$L$3900, $N$3, Ingresos!$M$9:$M$3900, $N$4, Ingresos!$D$9:$D$3900, B40)</f>
        <v>0</v>
      </c>
      <c r="O40" s="2">
        <f t="shared" si="6"/>
        <v>0</v>
      </c>
      <c r="Q40" s="2" t="e">
        <f>#REF!</f>
        <v>#REF!</v>
      </c>
      <c r="R40" s="2">
        <f>SUMIFS(Gastos!$J$9:$J$4091, Gastos!$L$9:$L$4091, $R$3, Gastos!$M$9:$M$4091, $R$4, Gastos!$D$9:$D$4091, Q40)</f>
        <v>0</v>
      </c>
      <c r="S40" s="2">
        <f>SUMIFS(Gastos!$J$9:$J$4091, Gastos!$L$9:$L$4091, $S$3, Gastos!$M$9:$M$4091, $S$4, Gastos!$D$9:$D$4091, Q40)</f>
        <v>0</v>
      </c>
      <c r="T40" s="2">
        <f>SUMIFS(Gastos!$J$9:$J$4091, Gastos!$L$9:$L$4091, $T$3, Gastos!$M$9:$M$4091, $T$4, Gastos!$D$9:$D$4091, Q40)</f>
        <v>0</v>
      </c>
      <c r="U40" s="2">
        <f>SUMIFS(Gastos!$J$9:$J$4091, Gastos!$L$9:$L$4091, $U$3, Gastos!$M$9:$M$4091, $U$4, Gastos!$D$9:$D$4091, Q40)</f>
        <v>0</v>
      </c>
      <c r="V40" s="2">
        <f>SUMIFS(Gastos!$J$9:$J$4091, Gastos!$L$9:$L$4091, $V$3, Gastos!$M$9:$M$4091, $V$4, Gastos!$D$9:$D$4091, Q40)</f>
        <v>0</v>
      </c>
      <c r="W40" s="2">
        <f>SUMIFS(Gastos!$J$9:$J$4091, Gastos!$L$9:$L$4091, $W$3, Gastos!$M$9:$M$4091, $W$4, Gastos!$D$9:$D$4091, Q40)</f>
        <v>0</v>
      </c>
      <c r="X40" s="2">
        <f>SUMIFS(Gastos!$J$9:$J$4091, Gastos!$L$9:$L$4091, $X$3, Gastos!$M$9:$M$4091, $X$4, Gastos!$D$9:$D$4091, Q40)</f>
        <v>0</v>
      </c>
      <c r="Y40" s="2">
        <f>SUMIFS(Gastos!$J$9:$J$4091, Gastos!$L$9:$L$4091, $Y$3, Gastos!$M$9:$M$4091, $Y$4, Gastos!$D$9:$D$4091, Q40)</f>
        <v>0</v>
      </c>
      <c r="Z40" s="2">
        <f>SUMIFS(Gastos!$J$9:$J$4091, Gastos!$L$9:$L$4091, $Z$3, Gastos!$M$9:$M$4091, $Z$4, Gastos!$D$9:$D$4091, Q40)</f>
        <v>0</v>
      </c>
      <c r="AA40" s="2">
        <f>SUMIFS(Gastos!$J$9:$J$4091, Gastos!$L$9:$L$4091, $AA$3, Gastos!$M$9:$M$4091, $AA$4, Gastos!$D$9:$D$4091, Q40)</f>
        <v>0</v>
      </c>
      <c r="AB40" s="2">
        <f>SUMIFS(Gastos!$J$9:$J$4091, Gastos!$L$9:$L$4091, $AB$3, Gastos!$M$9:$M$4091, $AB$4, Gastos!$D$9:$D$4091, Q40)</f>
        <v>0</v>
      </c>
      <c r="AC40" s="2">
        <f>SUMIFS(Gastos!$J$9:$J$4091, Gastos!$L$9:$L$4091, $AC$3, Gastos!$M$9:$M$4091, $AC$4, Gastos!$D$9:$D$4091, Q40)</f>
        <v>0</v>
      </c>
      <c r="AD40" s="2">
        <f t="shared" si="7"/>
        <v>0</v>
      </c>
      <c r="AK40" s="19" t="e">
        <f>#REF!</f>
        <v>#REF!</v>
      </c>
      <c r="AL40" s="2" t="e">
        <f>#REF!</f>
        <v>#REF!</v>
      </c>
      <c r="AM40" s="2" t="e">
        <f>#REF!</f>
        <v>#REF!</v>
      </c>
      <c r="AN40" s="2" t="e">
        <f t="shared" si="13"/>
        <v>#REF!</v>
      </c>
      <c r="AO40" s="2" t="e">
        <f t="shared" si="14"/>
        <v>#REF!</v>
      </c>
      <c r="AP40" s="2" t="e">
        <f t="shared" si="15"/>
        <v>#REF!</v>
      </c>
    </row>
    <row r="41" spans="2:42">
      <c r="B41" s="2" t="e">
        <f>#REF!</f>
        <v>#REF!</v>
      </c>
      <c r="C41" s="2">
        <f>SUMIFS(Ingresos!$J$9:$J$3900, Ingresos!$L$9:$L$3900, $C$3, Ingresos!$M$9:$M$3900, $C$4, Ingresos!$D$9:$D$3900, B41)</f>
        <v>0</v>
      </c>
      <c r="D41" s="2">
        <f>SUMIFS(Ingresos!$J$9:$J$3900, Ingresos!$L$9:$L$3900, $D$3, Ingresos!$M$9:$M$3900, $D$4, Ingresos!$D$9:$D$3900, B41)</f>
        <v>0</v>
      </c>
      <c r="E41" s="2">
        <f>SUMIFS(Ingresos!$J$9:$J$3900, Ingresos!$L$9:$L$3900, $E$3, Ingresos!$M$9:$M$3900, $E$4, Ingresos!$D$9:$D$3900, B41)</f>
        <v>0</v>
      </c>
      <c r="F41" s="2">
        <f>SUMIFS(Ingresos!$J$9:$J$3900, Ingresos!$L$9:$L$3900, $F$3, Ingresos!$M$9:$M$3900, $F$4, Ingresos!$D$9:$D$3900, B41)</f>
        <v>0</v>
      </c>
      <c r="G41" s="2">
        <f>SUMIFS(Ingresos!$J$9:$J$3900, Ingresos!$L$9:$L$3900, $G$3, Ingresos!$M$9:$M$3900, $G$4, Ingresos!$D$9:$D$3900, B41)</f>
        <v>0</v>
      </c>
      <c r="H41" s="2">
        <f>SUMIFS(Ingresos!$J$9:$J$3900, Ingresos!$L$9:$L$3900, $H$3, Ingresos!$M$9:$M$3900, $H$4, Ingresos!$D$9:$D$3900, B41)</f>
        <v>0</v>
      </c>
      <c r="I41" s="2">
        <f>SUMIFS(Ingresos!$J$9:$J$3900, Ingresos!$L$9:$L$3900, $I$3, Ingresos!$M$9:$M$3900, $I$4, Ingresos!$D$9:$D$3900, B41)</f>
        <v>0</v>
      </c>
      <c r="J41" s="2">
        <f>SUMIFS(Ingresos!$J$9:$J$3900, Ingresos!$L$9:$L$3900, $J$3, Ingresos!$M$9:$M$3900, $J$4, Ingresos!$D$9:$D$3900, B41)</f>
        <v>0</v>
      </c>
      <c r="K41" s="2">
        <f>SUMIFS(Ingresos!$J$9:$J$3900, Ingresos!$L$9:$L$3900, $K$3, Ingresos!$M$9:$M$3900, $K$4, Ingresos!$D$9:$D$3900, B41)</f>
        <v>0</v>
      </c>
      <c r="L41" s="2">
        <f>SUMIFS(Ingresos!$J$9:$J$3900, Ingresos!$L$9:$L$3900, $L$3, Ingresos!$M$9:$M$3900, $L$4, Ingresos!$D$9:$D$3900, B41)</f>
        <v>0</v>
      </c>
      <c r="M41" s="2">
        <f>SUMIFS(Ingresos!$J$9:$J$3900, Ingresos!$L$9:$L$3900, $M$3, Ingresos!$M$9:$M$3900, $M$4, Ingresos!$D$9:$D$3900, B41)</f>
        <v>0</v>
      </c>
      <c r="N41" s="2">
        <f>SUMIFS(Ingresos!$J$9:$J$3900, Ingresos!$L$9:$L$3900, $N$3, Ingresos!$M$9:$M$3900, $N$4, Ingresos!$D$9:$D$3900, B41)</f>
        <v>0</v>
      </c>
      <c r="O41" s="2">
        <f t="shared" si="6"/>
        <v>0</v>
      </c>
      <c r="Q41" s="2" t="e">
        <f>#REF!</f>
        <v>#REF!</v>
      </c>
      <c r="R41" s="2">
        <f>SUMIFS(Gastos!$J$9:$J$4091, Gastos!$L$9:$L$4091, $R$3, Gastos!$M$9:$M$4091, $R$4, Gastos!$D$9:$D$4091, Q41)</f>
        <v>0</v>
      </c>
      <c r="S41" s="2">
        <f>SUMIFS(Gastos!$J$9:$J$4091, Gastos!$L$9:$L$4091, $S$3, Gastos!$M$9:$M$4091, $S$4, Gastos!$D$9:$D$4091, Q41)</f>
        <v>0</v>
      </c>
      <c r="T41" s="2">
        <f>SUMIFS(Gastos!$J$9:$J$4091, Gastos!$L$9:$L$4091, $T$3, Gastos!$M$9:$M$4091, $T$4, Gastos!$D$9:$D$4091, Q41)</f>
        <v>0</v>
      </c>
      <c r="U41" s="2">
        <f>SUMIFS(Gastos!$J$9:$J$4091, Gastos!$L$9:$L$4091, $U$3, Gastos!$M$9:$M$4091, $U$4, Gastos!$D$9:$D$4091, Q41)</f>
        <v>0</v>
      </c>
      <c r="V41" s="2">
        <f>SUMIFS(Gastos!$J$9:$J$4091, Gastos!$L$9:$L$4091, $V$3, Gastos!$M$9:$M$4091, $V$4, Gastos!$D$9:$D$4091, Q41)</f>
        <v>0</v>
      </c>
      <c r="W41" s="2">
        <f>SUMIFS(Gastos!$J$9:$J$4091, Gastos!$L$9:$L$4091, $W$3, Gastos!$M$9:$M$4091, $W$4, Gastos!$D$9:$D$4091, Q41)</f>
        <v>0</v>
      </c>
      <c r="X41" s="2">
        <f>SUMIFS(Gastos!$J$9:$J$4091, Gastos!$L$9:$L$4091, $X$3, Gastos!$M$9:$M$4091, $X$4, Gastos!$D$9:$D$4091, Q41)</f>
        <v>0</v>
      </c>
      <c r="Y41" s="2">
        <f>SUMIFS(Gastos!$J$9:$J$4091, Gastos!$L$9:$L$4091, $Y$3, Gastos!$M$9:$M$4091, $Y$4, Gastos!$D$9:$D$4091, Q41)</f>
        <v>0</v>
      </c>
      <c r="Z41" s="2">
        <f>SUMIFS(Gastos!$J$9:$J$4091, Gastos!$L$9:$L$4091, $Z$3, Gastos!$M$9:$M$4091, $Z$4, Gastos!$D$9:$D$4091, Q41)</f>
        <v>0</v>
      </c>
      <c r="AA41" s="2">
        <f>SUMIFS(Gastos!$J$9:$J$4091, Gastos!$L$9:$L$4091, $AA$3, Gastos!$M$9:$M$4091, $AA$4, Gastos!$D$9:$D$4091, Q41)</f>
        <v>0</v>
      </c>
      <c r="AB41" s="2">
        <f>SUMIFS(Gastos!$J$9:$J$4091, Gastos!$L$9:$L$4091, $AB$3, Gastos!$M$9:$M$4091, $AB$4, Gastos!$D$9:$D$4091, Q41)</f>
        <v>0</v>
      </c>
      <c r="AC41" s="2">
        <f>SUMIFS(Gastos!$J$9:$J$4091, Gastos!$L$9:$L$4091, $AC$3, Gastos!$M$9:$M$4091, $AC$4, Gastos!$D$9:$D$4091, Q41)</f>
        <v>0</v>
      </c>
      <c r="AD41" s="2">
        <f t="shared" si="7"/>
        <v>0</v>
      </c>
      <c r="AK41" s="19" t="e">
        <f>#REF!</f>
        <v>#REF!</v>
      </c>
      <c r="AL41" s="2" t="e">
        <f>#REF!</f>
        <v>#REF!</v>
      </c>
      <c r="AM41" s="2" t="e">
        <f>#REF!</f>
        <v>#REF!</v>
      </c>
      <c r="AN41" s="2" t="e">
        <f t="shared" si="13"/>
        <v>#REF!</v>
      </c>
      <c r="AO41" s="2" t="e">
        <f t="shared" si="14"/>
        <v>#REF!</v>
      </c>
      <c r="AP41" s="2" t="e">
        <f t="shared" si="15"/>
        <v>#REF!</v>
      </c>
    </row>
    <row r="42" spans="2:42">
      <c r="B42" s="2" t="e">
        <f>#REF!</f>
        <v>#REF!</v>
      </c>
      <c r="C42" s="2">
        <f>SUMIFS(Ingresos!$J$9:$J$3900, Ingresos!$L$9:$L$3900, $C$3, Ingresos!$M$9:$M$3900, $C$4, Ingresos!$D$9:$D$3900, B42)</f>
        <v>0</v>
      </c>
      <c r="D42" s="2">
        <f>SUMIFS(Ingresos!$J$9:$J$3900, Ingresos!$L$9:$L$3900, $D$3, Ingresos!$M$9:$M$3900, $D$4, Ingresos!$D$9:$D$3900, B42)</f>
        <v>0</v>
      </c>
      <c r="E42" s="2">
        <f>SUMIFS(Ingresos!$J$9:$J$3900, Ingresos!$L$9:$L$3900, $E$3, Ingresos!$M$9:$M$3900, $E$4, Ingresos!$D$9:$D$3900, B42)</f>
        <v>0</v>
      </c>
      <c r="F42" s="2">
        <f>SUMIFS(Ingresos!$J$9:$J$3900, Ingresos!$L$9:$L$3900, $F$3, Ingresos!$M$9:$M$3900, $F$4, Ingresos!$D$9:$D$3900, B42)</f>
        <v>0</v>
      </c>
      <c r="G42" s="2">
        <f>SUMIFS(Ingresos!$J$9:$J$3900, Ingresos!$L$9:$L$3900, $G$3, Ingresos!$M$9:$M$3900, $G$4, Ingresos!$D$9:$D$3900, B42)</f>
        <v>0</v>
      </c>
      <c r="H42" s="2">
        <f>SUMIFS(Ingresos!$J$9:$J$3900, Ingresos!$L$9:$L$3900, $H$3, Ingresos!$M$9:$M$3900, $H$4, Ingresos!$D$9:$D$3900, B42)</f>
        <v>0</v>
      </c>
      <c r="I42" s="2">
        <f>SUMIFS(Ingresos!$J$9:$J$3900, Ingresos!$L$9:$L$3900, $I$3, Ingresos!$M$9:$M$3900, $I$4, Ingresos!$D$9:$D$3900, B42)</f>
        <v>0</v>
      </c>
      <c r="J42" s="2">
        <f>SUMIFS(Ingresos!$J$9:$J$3900, Ingresos!$L$9:$L$3900, $J$3, Ingresos!$M$9:$M$3900, $J$4, Ingresos!$D$9:$D$3900, B42)</f>
        <v>0</v>
      </c>
      <c r="K42" s="2">
        <f>SUMIFS(Ingresos!$J$9:$J$3900, Ingresos!$L$9:$L$3900, $K$3, Ingresos!$M$9:$M$3900, $K$4, Ingresos!$D$9:$D$3900, B42)</f>
        <v>0</v>
      </c>
      <c r="L42" s="2">
        <f>SUMIFS(Ingresos!$J$9:$J$3900, Ingresos!$L$9:$L$3900, $L$3, Ingresos!$M$9:$M$3900, $L$4, Ingresos!$D$9:$D$3900, B42)</f>
        <v>0</v>
      </c>
      <c r="M42" s="2">
        <f>SUMIFS(Ingresos!$J$9:$J$3900, Ingresos!$L$9:$L$3900, $M$3, Ingresos!$M$9:$M$3900, $M$4, Ingresos!$D$9:$D$3900, B42)</f>
        <v>0</v>
      </c>
      <c r="N42" s="2">
        <f>SUMIFS(Ingresos!$J$9:$J$3900, Ingresos!$L$9:$L$3900, $N$3, Ingresos!$M$9:$M$3900, $N$4, Ingresos!$D$9:$D$3900, B42)</f>
        <v>0</v>
      </c>
      <c r="O42" s="2">
        <f t="shared" si="6"/>
        <v>0</v>
      </c>
      <c r="Q42" s="2" t="e">
        <f>#REF!</f>
        <v>#REF!</v>
      </c>
      <c r="R42" s="2">
        <f>SUMIFS(Gastos!$J$9:$J$4091, Gastos!$L$9:$L$4091, $R$3, Gastos!$M$9:$M$4091, $R$4, Gastos!$D$9:$D$4091, Q42)</f>
        <v>0</v>
      </c>
      <c r="S42" s="2">
        <f>SUMIFS(Gastos!$J$9:$J$4091, Gastos!$L$9:$L$4091, $S$3, Gastos!$M$9:$M$4091, $S$4, Gastos!$D$9:$D$4091, Q42)</f>
        <v>0</v>
      </c>
      <c r="T42" s="2">
        <f>SUMIFS(Gastos!$J$9:$J$4091, Gastos!$L$9:$L$4091, $T$3, Gastos!$M$9:$M$4091, $T$4, Gastos!$D$9:$D$4091, Q42)</f>
        <v>0</v>
      </c>
      <c r="U42" s="2">
        <f>SUMIFS(Gastos!$J$9:$J$4091, Gastos!$L$9:$L$4091, $U$3, Gastos!$M$9:$M$4091, $U$4, Gastos!$D$9:$D$4091, Q42)</f>
        <v>0</v>
      </c>
      <c r="V42" s="2">
        <f>SUMIFS(Gastos!$J$9:$J$4091, Gastos!$L$9:$L$4091, $V$3, Gastos!$M$9:$M$4091, $V$4, Gastos!$D$9:$D$4091, Q42)</f>
        <v>0</v>
      </c>
      <c r="W42" s="2">
        <f>SUMIFS(Gastos!$J$9:$J$4091, Gastos!$L$9:$L$4091, $W$3, Gastos!$M$9:$M$4091, $W$4, Gastos!$D$9:$D$4091, Q42)</f>
        <v>0</v>
      </c>
      <c r="X42" s="2">
        <f>SUMIFS(Gastos!$J$9:$J$4091, Gastos!$L$9:$L$4091, $X$3, Gastos!$M$9:$M$4091, $X$4, Gastos!$D$9:$D$4091, Q42)</f>
        <v>0</v>
      </c>
      <c r="Y42" s="2">
        <f>SUMIFS(Gastos!$J$9:$J$4091, Gastos!$L$9:$L$4091, $Y$3, Gastos!$M$9:$M$4091, $Y$4, Gastos!$D$9:$D$4091, Q42)</f>
        <v>0</v>
      </c>
      <c r="Z42" s="2">
        <f>SUMIFS(Gastos!$J$9:$J$4091, Gastos!$L$9:$L$4091, $Z$3, Gastos!$M$9:$M$4091, $Z$4, Gastos!$D$9:$D$4091, Q42)</f>
        <v>0</v>
      </c>
      <c r="AA42" s="2">
        <f>SUMIFS(Gastos!$J$9:$J$4091, Gastos!$L$9:$L$4091, $AA$3, Gastos!$M$9:$M$4091, $AA$4, Gastos!$D$9:$D$4091, Q42)</f>
        <v>0</v>
      </c>
      <c r="AB42" s="2">
        <f>SUMIFS(Gastos!$J$9:$J$4091, Gastos!$L$9:$L$4091, $AB$3, Gastos!$M$9:$M$4091, $AB$4, Gastos!$D$9:$D$4091, Q42)</f>
        <v>0</v>
      </c>
      <c r="AC42" s="2">
        <f>SUMIFS(Gastos!$J$9:$J$4091, Gastos!$L$9:$L$4091, $AC$3, Gastos!$M$9:$M$4091, $AC$4, Gastos!$D$9:$D$4091, Q42)</f>
        <v>0</v>
      </c>
      <c r="AD42" s="2">
        <f t="shared" si="7"/>
        <v>0</v>
      </c>
      <c r="AK42" s="2" t="s">
        <v>25</v>
      </c>
      <c r="AL42" s="2" t="e">
        <f>SUM(AL30:AL41)</f>
        <v>#REF!</v>
      </c>
      <c r="AM42" s="2" t="e">
        <f>SUM(AM30:AM41)</f>
        <v>#REF!</v>
      </c>
      <c r="AN42" s="2" t="e">
        <f>SUM(AN30:AN41)</f>
        <v>#REF!</v>
      </c>
      <c r="AO42" s="2" t="e">
        <f>SUM(AO30:AO41)</f>
        <v>#REF!</v>
      </c>
      <c r="AP42" s="2" t="e">
        <f>SUM(AP30:AP41)</f>
        <v>#REF!</v>
      </c>
    </row>
    <row r="43" spans="2:42">
      <c r="B43" s="2" t="e">
        <f>#REF!</f>
        <v>#REF!</v>
      </c>
      <c r="C43" s="2">
        <f>SUMIFS(Ingresos!$J$9:$J$3900, Ingresos!$L$9:$L$3900, $C$3, Ingresos!$M$9:$M$3900, $C$4, Ingresos!$D$9:$D$3900, B43)</f>
        <v>0</v>
      </c>
      <c r="D43" s="2">
        <f>SUMIFS(Ingresos!$J$9:$J$3900, Ingresos!$L$9:$L$3900, $D$3, Ingresos!$M$9:$M$3900, $D$4, Ingresos!$D$9:$D$3900, B43)</f>
        <v>0</v>
      </c>
      <c r="E43" s="2">
        <f>SUMIFS(Ingresos!$J$9:$J$3900, Ingresos!$L$9:$L$3900, $E$3, Ingresos!$M$9:$M$3900, $E$4, Ingresos!$D$9:$D$3900, B43)</f>
        <v>0</v>
      </c>
      <c r="F43" s="2">
        <f>SUMIFS(Ingresos!$J$9:$J$3900, Ingresos!$L$9:$L$3900, $F$3, Ingresos!$M$9:$M$3900, $F$4, Ingresos!$D$9:$D$3900, B43)</f>
        <v>0</v>
      </c>
      <c r="G43" s="2">
        <f>SUMIFS(Ingresos!$J$9:$J$3900, Ingresos!$L$9:$L$3900, $G$3, Ingresos!$M$9:$M$3900, $G$4, Ingresos!$D$9:$D$3900, B43)</f>
        <v>0</v>
      </c>
      <c r="H43" s="2">
        <f>SUMIFS(Ingresos!$J$9:$J$3900, Ingresos!$L$9:$L$3900, $H$3, Ingresos!$M$9:$M$3900, $H$4, Ingresos!$D$9:$D$3900, B43)</f>
        <v>0</v>
      </c>
      <c r="I43" s="2">
        <f>SUMIFS(Ingresos!$J$9:$J$3900, Ingresos!$L$9:$L$3900, $I$3, Ingresos!$M$9:$M$3900, $I$4, Ingresos!$D$9:$D$3900, B43)</f>
        <v>0</v>
      </c>
      <c r="J43" s="2">
        <f>SUMIFS(Ingresos!$J$9:$J$3900, Ingresos!$L$9:$L$3900, $J$3, Ingresos!$M$9:$M$3900, $J$4, Ingresos!$D$9:$D$3900, B43)</f>
        <v>0</v>
      </c>
      <c r="K43" s="2">
        <f>SUMIFS(Ingresos!$J$9:$J$3900, Ingresos!$L$9:$L$3900, $K$3, Ingresos!$M$9:$M$3900, $K$4, Ingresos!$D$9:$D$3900, B43)</f>
        <v>0</v>
      </c>
      <c r="L43" s="2">
        <f>SUMIFS(Ingresos!$J$9:$J$3900, Ingresos!$L$9:$L$3900, $L$3, Ingresos!$M$9:$M$3900, $L$4, Ingresos!$D$9:$D$3900, B43)</f>
        <v>0</v>
      </c>
      <c r="M43" s="2">
        <f>SUMIFS(Ingresos!$J$9:$J$3900, Ingresos!$L$9:$L$3900, $M$3, Ingresos!$M$9:$M$3900, $M$4, Ingresos!$D$9:$D$3900, B43)</f>
        <v>0</v>
      </c>
      <c r="N43" s="2">
        <f>SUMIFS(Ingresos!$J$9:$J$3900, Ingresos!$L$9:$L$3900, $N$3, Ingresos!$M$9:$M$3900, $N$4, Ingresos!$D$9:$D$3900, B43)</f>
        <v>0</v>
      </c>
      <c r="O43" s="2">
        <f t="shared" si="6"/>
        <v>0</v>
      </c>
      <c r="Q43" s="2" t="e">
        <f>#REF!</f>
        <v>#REF!</v>
      </c>
      <c r="R43" s="2">
        <f>SUMIFS(Gastos!$J$9:$J$4091, Gastos!$L$9:$L$4091, $R$3, Gastos!$M$9:$M$4091, $R$4, Gastos!$D$9:$D$4091, Q43)</f>
        <v>0</v>
      </c>
      <c r="S43" s="2">
        <f>SUMIFS(Gastos!$J$9:$J$4091, Gastos!$L$9:$L$4091, $S$3, Gastos!$M$9:$M$4091, $S$4, Gastos!$D$9:$D$4091, Q43)</f>
        <v>0</v>
      </c>
      <c r="T43" s="2">
        <f>SUMIFS(Gastos!$J$9:$J$4091, Gastos!$L$9:$L$4091, $T$3, Gastos!$M$9:$M$4091, $T$4, Gastos!$D$9:$D$4091, Q43)</f>
        <v>0</v>
      </c>
      <c r="U43" s="2">
        <f>SUMIFS(Gastos!$J$9:$J$4091, Gastos!$L$9:$L$4091, $U$3, Gastos!$M$9:$M$4091, $U$4, Gastos!$D$9:$D$4091, Q43)</f>
        <v>0</v>
      </c>
      <c r="V43" s="2">
        <f>SUMIFS(Gastos!$J$9:$J$4091, Gastos!$L$9:$L$4091, $V$3, Gastos!$M$9:$M$4091, $V$4, Gastos!$D$9:$D$4091, Q43)</f>
        <v>0</v>
      </c>
      <c r="W43" s="2">
        <f>SUMIFS(Gastos!$J$9:$J$4091, Gastos!$L$9:$L$4091, $W$3, Gastos!$M$9:$M$4091, $W$4, Gastos!$D$9:$D$4091, Q43)</f>
        <v>0</v>
      </c>
      <c r="X43" s="2">
        <f>SUMIFS(Gastos!$J$9:$J$4091, Gastos!$L$9:$L$4091, $X$3, Gastos!$M$9:$M$4091, $X$4, Gastos!$D$9:$D$4091, Q43)</f>
        <v>0</v>
      </c>
      <c r="Y43" s="2">
        <f>SUMIFS(Gastos!$J$9:$J$4091, Gastos!$L$9:$L$4091, $Y$3, Gastos!$M$9:$M$4091, $Y$4, Gastos!$D$9:$D$4091, Q43)</f>
        <v>0</v>
      </c>
      <c r="Z43" s="2">
        <f>SUMIFS(Gastos!$J$9:$J$4091, Gastos!$L$9:$L$4091, $Z$3, Gastos!$M$9:$M$4091, $Z$4, Gastos!$D$9:$D$4091, Q43)</f>
        <v>0</v>
      </c>
      <c r="AA43" s="2">
        <f>SUMIFS(Gastos!$J$9:$J$4091, Gastos!$L$9:$L$4091, $AA$3, Gastos!$M$9:$M$4091, $AA$4, Gastos!$D$9:$D$4091, Q43)</f>
        <v>0</v>
      </c>
      <c r="AB43" s="2">
        <f>SUMIFS(Gastos!$J$9:$J$4091, Gastos!$L$9:$L$4091, $AB$3, Gastos!$M$9:$M$4091, $AB$4, Gastos!$D$9:$D$4091, Q43)</f>
        <v>0</v>
      </c>
      <c r="AC43" s="2">
        <f>SUMIFS(Gastos!$J$9:$J$4091, Gastos!$L$9:$L$4091, $AC$3, Gastos!$M$9:$M$4091, $AC$4, Gastos!$D$9:$D$4091, Q43)</f>
        <v>0</v>
      </c>
      <c r="AD43" s="2">
        <f t="shared" si="7"/>
        <v>0</v>
      </c>
    </row>
    <row r="44" spans="2:42">
      <c r="B44" s="2" t="e">
        <f>#REF!</f>
        <v>#REF!</v>
      </c>
      <c r="C44" s="2">
        <f>SUMIFS(Ingresos!$J$9:$J$3900, Ingresos!$L$9:$L$3900, $C$3, Ingresos!$M$9:$M$3900, $C$4, Ingresos!$D$9:$D$3900, B44)</f>
        <v>0</v>
      </c>
      <c r="D44" s="2">
        <f>SUMIFS(Ingresos!$J$9:$J$3900, Ingresos!$L$9:$L$3900, $D$3, Ingresos!$M$9:$M$3900, $D$4, Ingresos!$D$9:$D$3900, B44)</f>
        <v>0</v>
      </c>
      <c r="E44" s="2">
        <f>SUMIFS(Ingresos!$J$9:$J$3900, Ingresos!$L$9:$L$3900, $E$3, Ingresos!$M$9:$M$3900, $E$4, Ingresos!$D$9:$D$3900, B44)</f>
        <v>0</v>
      </c>
      <c r="F44" s="2">
        <f>SUMIFS(Ingresos!$J$9:$J$3900, Ingresos!$L$9:$L$3900, $F$3, Ingresos!$M$9:$M$3900, $F$4, Ingresos!$D$9:$D$3900, B44)</f>
        <v>0</v>
      </c>
      <c r="G44" s="2">
        <f>SUMIFS(Ingresos!$J$9:$J$3900, Ingresos!$L$9:$L$3900, $G$3, Ingresos!$M$9:$M$3900, $G$4, Ingresos!$D$9:$D$3900, B44)</f>
        <v>0</v>
      </c>
      <c r="H44" s="2">
        <f>SUMIFS(Ingresos!$J$9:$J$3900, Ingresos!$L$9:$L$3900, $H$3, Ingresos!$M$9:$M$3900, $H$4, Ingresos!$D$9:$D$3900, B44)</f>
        <v>0</v>
      </c>
      <c r="I44" s="2">
        <f>SUMIFS(Ingresos!$J$9:$J$3900, Ingresos!$L$9:$L$3900, $I$3, Ingresos!$M$9:$M$3900, $I$4, Ingresos!$D$9:$D$3900, B44)</f>
        <v>0</v>
      </c>
      <c r="J44" s="2">
        <f>SUMIFS(Ingresos!$J$9:$J$3900, Ingresos!$L$9:$L$3900, $J$3, Ingresos!$M$9:$M$3900, $J$4, Ingresos!$D$9:$D$3900, B44)</f>
        <v>0</v>
      </c>
      <c r="K44" s="2">
        <f>SUMIFS(Ingresos!$J$9:$J$3900, Ingresos!$L$9:$L$3900, $K$3, Ingresos!$M$9:$M$3900, $K$4, Ingresos!$D$9:$D$3900, B44)</f>
        <v>0</v>
      </c>
      <c r="L44" s="2">
        <f>SUMIFS(Ingresos!$J$9:$J$3900, Ingresos!$L$9:$L$3900, $L$3, Ingresos!$M$9:$M$3900, $L$4, Ingresos!$D$9:$D$3900, B44)</f>
        <v>0</v>
      </c>
      <c r="M44" s="2">
        <f>SUMIFS(Ingresos!$J$9:$J$3900, Ingresos!$L$9:$L$3900, $M$3, Ingresos!$M$9:$M$3900, $M$4, Ingresos!$D$9:$D$3900, B44)</f>
        <v>0</v>
      </c>
      <c r="N44" s="2">
        <f>SUMIFS(Ingresos!$J$9:$J$3900, Ingresos!$L$9:$L$3900, $N$3, Ingresos!$M$9:$M$3900, $N$4, Ingresos!$D$9:$D$3900, B44)</f>
        <v>0</v>
      </c>
      <c r="O44" s="2">
        <f t="shared" si="6"/>
        <v>0</v>
      </c>
      <c r="Q44" s="2" t="e">
        <f>#REF!</f>
        <v>#REF!</v>
      </c>
      <c r="R44" s="2">
        <f>SUMIFS(Gastos!$J$9:$J$4091, Gastos!$L$9:$L$4091, $R$3, Gastos!$M$9:$M$4091, $R$4, Gastos!$D$9:$D$4091, Q44)</f>
        <v>0</v>
      </c>
      <c r="S44" s="2">
        <f>SUMIFS(Gastos!$J$9:$J$4091, Gastos!$L$9:$L$4091, $S$3, Gastos!$M$9:$M$4091, $S$4, Gastos!$D$9:$D$4091, Q44)</f>
        <v>0</v>
      </c>
      <c r="T44" s="2">
        <f>SUMIFS(Gastos!$J$9:$J$4091, Gastos!$L$9:$L$4091, $T$3, Gastos!$M$9:$M$4091, $T$4, Gastos!$D$9:$D$4091, Q44)</f>
        <v>0</v>
      </c>
      <c r="U44" s="2">
        <f>SUMIFS(Gastos!$J$9:$J$4091, Gastos!$L$9:$L$4091, $U$3, Gastos!$M$9:$M$4091, $U$4, Gastos!$D$9:$D$4091, Q44)</f>
        <v>0</v>
      </c>
      <c r="V44" s="2">
        <f>SUMIFS(Gastos!$J$9:$J$4091, Gastos!$L$9:$L$4091, $V$3, Gastos!$M$9:$M$4091, $V$4, Gastos!$D$9:$D$4091, Q44)</f>
        <v>0</v>
      </c>
      <c r="W44" s="2">
        <f>SUMIFS(Gastos!$J$9:$J$4091, Gastos!$L$9:$L$4091, $W$3, Gastos!$M$9:$M$4091, $W$4, Gastos!$D$9:$D$4091, Q44)</f>
        <v>0</v>
      </c>
      <c r="X44" s="2">
        <f>SUMIFS(Gastos!$J$9:$J$4091, Gastos!$L$9:$L$4091, $X$3, Gastos!$M$9:$M$4091, $X$4, Gastos!$D$9:$D$4091, Q44)</f>
        <v>0</v>
      </c>
      <c r="Y44" s="2">
        <f>SUMIFS(Gastos!$J$9:$J$4091, Gastos!$L$9:$L$4091, $Y$3, Gastos!$M$9:$M$4091, $Y$4, Gastos!$D$9:$D$4091, Q44)</f>
        <v>0</v>
      </c>
      <c r="Z44" s="2">
        <f>SUMIFS(Gastos!$J$9:$J$4091, Gastos!$L$9:$L$4091, $Z$3, Gastos!$M$9:$M$4091, $Z$4, Gastos!$D$9:$D$4091, Q44)</f>
        <v>0</v>
      </c>
      <c r="AA44" s="2">
        <f>SUMIFS(Gastos!$J$9:$J$4091, Gastos!$L$9:$L$4091, $AA$3, Gastos!$M$9:$M$4091, $AA$4, Gastos!$D$9:$D$4091, Q44)</f>
        <v>0</v>
      </c>
      <c r="AB44" s="2">
        <f>SUMIFS(Gastos!$J$9:$J$4091, Gastos!$L$9:$L$4091, $AB$3, Gastos!$M$9:$M$4091, $AB$4, Gastos!$D$9:$D$4091, Q44)</f>
        <v>0</v>
      </c>
      <c r="AC44" s="2">
        <f>SUMIFS(Gastos!$J$9:$J$4091, Gastos!$L$9:$L$4091, $AC$3, Gastos!$M$9:$M$4091, $AC$4, Gastos!$D$9:$D$4091, Q44)</f>
        <v>0</v>
      </c>
      <c r="AD44" s="2">
        <f t="shared" si="7"/>
        <v>0</v>
      </c>
      <c r="AK44" s="1" t="s">
        <v>2</v>
      </c>
      <c r="AL44" s="1" t="s">
        <v>22</v>
      </c>
      <c r="AM44" s="1" t="s">
        <v>23</v>
      </c>
      <c r="AN44" s="1" t="s">
        <v>24</v>
      </c>
    </row>
    <row r="45" spans="2:42">
      <c r="B45" s="2" t="e">
        <f>#REF!</f>
        <v>#REF!</v>
      </c>
      <c r="C45" s="2">
        <f>SUMIFS(Ingresos!$J$9:$J$3900, Ingresos!$L$9:$L$3900, $C$3, Ingresos!$M$9:$M$3900, $C$4, Ingresos!$D$9:$D$3900, B45)</f>
        <v>0</v>
      </c>
      <c r="D45" s="2">
        <f>SUMIFS(Ingresos!$J$9:$J$3900, Ingresos!$L$9:$L$3900, $D$3, Ingresos!$M$9:$M$3900, $D$4, Ingresos!$D$9:$D$3900, B45)</f>
        <v>0</v>
      </c>
      <c r="E45" s="2">
        <f>SUMIFS(Ingresos!$J$9:$J$3900, Ingresos!$L$9:$L$3900, $E$3, Ingresos!$M$9:$M$3900, $E$4, Ingresos!$D$9:$D$3900, B45)</f>
        <v>0</v>
      </c>
      <c r="F45" s="2">
        <f>SUMIFS(Ingresos!$J$9:$J$3900, Ingresos!$L$9:$L$3900, $F$3, Ingresos!$M$9:$M$3900, $F$4, Ingresos!$D$9:$D$3900, B45)</f>
        <v>0</v>
      </c>
      <c r="G45" s="2">
        <f>SUMIFS(Ingresos!$J$9:$J$3900, Ingresos!$L$9:$L$3900, $G$3, Ingresos!$M$9:$M$3900, $G$4, Ingresos!$D$9:$D$3900, B45)</f>
        <v>0</v>
      </c>
      <c r="H45" s="2">
        <f>SUMIFS(Ingresos!$J$9:$J$3900, Ingresos!$L$9:$L$3900, $H$3, Ingresos!$M$9:$M$3900, $H$4, Ingresos!$D$9:$D$3900, B45)</f>
        <v>0</v>
      </c>
      <c r="I45" s="2">
        <f>SUMIFS(Ingresos!$J$9:$J$3900, Ingresos!$L$9:$L$3900, $I$3, Ingresos!$M$9:$M$3900, $I$4, Ingresos!$D$9:$D$3900, B45)</f>
        <v>0</v>
      </c>
      <c r="J45" s="2">
        <f>SUMIFS(Ingresos!$J$9:$J$3900, Ingresos!$L$9:$L$3900, $J$3, Ingresos!$M$9:$M$3900, $J$4, Ingresos!$D$9:$D$3900, B45)</f>
        <v>0</v>
      </c>
      <c r="K45" s="2">
        <f>SUMIFS(Ingresos!$J$9:$J$3900, Ingresos!$L$9:$L$3900, $K$3, Ingresos!$M$9:$M$3900, $K$4, Ingresos!$D$9:$D$3900, B45)</f>
        <v>0</v>
      </c>
      <c r="L45" s="2">
        <f>SUMIFS(Ingresos!$J$9:$J$3900, Ingresos!$L$9:$L$3900, $L$3, Ingresos!$M$9:$M$3900, $L$4, Ingresos!$D$9:$D$3900, B45)</f>
        <v>0</v>
      </c>
      <c r="M45" s="2">
        <f>SUMIFS(Ingresos!$J$9:$J$3900, Ingresos!$L$9:$L$3900, $M$3, Ingresos!$M$9:$M$3900, $M$4, Ingresos!$D$9:$D$3900, B45)</f>
        <v>0</v>
      </c>
      <c r="N45" s="2">
        <f>SUMIFS(Ingresos!$J$9:$J$3900, Ingresos!$L$9:$L$3900, $N$3, Ingresos!$M$9:$M$3900, $N$4, Ingresos!$D$9:$D$3900, B45)</f>
        <v>0</v>
      </c>
      <c r="O45" s="2">
        <f t="shared" si="6"/>
        <v>0</v>
      </c>
      <c r="Q45" s="2" t="e">
        <f>#REF!</f>
        <v>#REF!</v>
      </c>
      <c r="R45" s="2">
        <f>SUMIFS(Gastos!$J$9:$J$4091, Gastos!$L$9:$L$4091, $R$3, Gastos!$M$9:$M$4091, $R$4, Gastos!$D$9:$D$4091, Q45)</f>
        <v>0</v>
      </c>
      <c r="S45" s="2">
        <f>SUMIFS(Gastos!$J$9:$J$4091, Gastos!$L$9:$L$4091, $S$3, Gastos!$M$9:$M$4091, $S$4, Gastos!$D$9:$D$4091, Q45)</f>
        <v>0</v>
      </c>
      <c r="T45" s="2">
        <f>SUMIFS(Gastos!$J$9:$J$4091, Gastos!$L$9:$L$4091, $T$3, Gastos!$M$9:$M$4091, $T$4, Gastos!$D$9:$D$4091, Q45)</f>
        <v>0</v>
      </c>
      <c r="U45" s="2">
        <f>SUMIFS(Gastos!$J$9:$J$4091, Gastos!$L$9:$L$4091, $U$3, Gastos!$M$9:$M$4091, $U$4, Gastos!$D$9:$D$4091, Q45)</f>
        <v>0</v>
      </c>
      <c r="V45" s="2">
        <f>SUMIFS(Gastos!$J$9:$J$4091, Gastos!$L$9:$L$4091, $V$3, Gastos!$M$9:$M$4091, $V$4, Gastos!$D$9:$D$4091, Q45)</f>
        <v>0</v>
      </c>
      <c r="W45" s="2">
        <f>SUMIFS(Gastos!$J$9:$J$4091, Gastos!$L$9:$L$4091, $W$3, Gastos!$M$9:$M$4091, $W$4, Gastos!$D$9:$D$4091, Q45)</f>
        <v>0</v>
      </c>
      <c r="X45" s="2">
        <f>SUMIFS(Gastos!$J$9:$J$4091, Gastos!$L$9:$L$4091, $X$3, Gastos!$M$9:$M$4091, $X$4, Gastos!$D$9:$D$4091, Q45)</f>
        <v>0</v>
      </c>
      <c r="Y45" s="2">
        <f>SUMIFS(Gastos!$J$9:$J$4091, Gastos!$L$9:$L$4091, $Y$3, Gastos!$M$9:$M$4091, $Y$4, Gastos!$D$9:$D$4091, Q45)</f>
        <v>0</v>
      </c>
      <c r="Z45" s="2">
        <f>SUMIFS(Gastos!$J$9:$J$4091, Gastos!$L$9:$L$4091, $Z$3, Gastos!$M$9:$M$4091, $Z$4, Gastos!$D$9:$D$4091, Q45)</f>
        <v>0</v>
      </c>
      <c r="AA45" s="2">
        <f>SUMIFS(Gastos!$J$9:$J$4091, Gastos!$L$9:$L$4091, $AA$3, Gastos!$M$9:$M$4091, $AA$4, Gastos!$D$9:$D$4091, Q45)</f>
        <v>0</v>
      </c>
      <c r="AB45" s="2">
        <f>SUMIFS(Gastos!$J$9:$J$4091, Gastos!$L$9:$L$4091, $AB$3, Gastos!$M$9:$M$4091, $AB$4, Gastos!$D$9:$D$4091, Q45)</f>
        <v>0</v>
      </c>
      <c r="AC45" s="2">
        <f>SUMIFS(Gastos!$J$9:$J$4091, Gastos!$L$9:$L$4091, $AC$3, Gastos!$M$9:$M$4091, $AC$4, Gastos!$D$9:$D$4091, Q45)</f>
        <v>0</v>
      </c>
      <c r="AD45" s="2">
        <f t="shared" si="7"/>
        <v>0</v>
      </c>
      <c r="AK45" s="21" t="e">
        <f>#REF!</f>
        <v>#REF!</v>
      </c>
      <c r="AL45" s="1" t="e">
        <f>#REF!</f>
        <v>#REF!</v>
      </c>
      <c r="AM45" s="1" t="e">
        <f>#REF!</f>
        <v>#REF!</v>
      </c>
      <c r="AN45" s="1" t="e">
        <f>AL45-AM45</f>
        <v>#REF!</v>
      </c>
    </row>
    <row r="46" spans="2:42">
      <c r="B46" s="2" t="e">
        <f>#REF!</f>
        <v>#REF!</v>
      </c>
      <c r="C46" s="2">
        <f>SUMIFS(Ingresos!$J$9:$J$3900, Ingresos!$L$9:$L$3900, $C$3, Ingresos!$M$9:$M$3900, $C$4, Ingresos!$D$9:$D$3900, B46)</f>
        <v>0</v>
      </c>
      <c r="D46" s="2">
        <f>SUMIFS(Ingresos!$J$9:$J$3900, Ingresos!$L$9:$L$3900, $D$3, Ingresos!$M$9:$M$3900, $D$4, Ingresos!$D$9:$D$3900, B46)</f>
        <v>0</v>
      </c>
      <c r="E46" s="2">
        <f>SUMIFS(Ingresos!$J$9:$J$3900, Ingresos!$L$9:$L$3900, $E$3, Ingresos!$M$9:$M$3900, $E$4, Ingresos!$D$9:$D$3900, B46)</f>
        <v>0</v>
      </c>
      <c r="F46" s="2">
        <f>SUMIFS(Ingresos!$J$9:$J$3900, Ingresos!$L$9:$L$3900, $F$3, Ingresos!$M$9:$M$3900, $F$4, Ingresos!$D$9:$D$3900, B46)</f>
        <v>0</v>
      </c>
      <c r="G46" s="2">
        <f>SUMIFS(Ingresos!$J$9:$J$3900, Ingresos!$L$9:$L$3900, $G$3, Ingresos!$M$9:$M$3900, $G$4, Ingresos!$D$9:$D$3900, B46)</f>
        <v>0</v>
      </c>
      <c r="H46" s="2">
        <f>SUMIFS(Ingresos!$J$9:$J$3900, Ingresos!$L$9:$L$3900, $H$3, Ingresos!$M$9:$M$3900, $H$4, Ingresos!$D$9:$D$3900, B46)</f>
        <v>0</v>
      </c>
      <c r="I46" s="2">
        <f>SUMIFS(Ingresos!$J$9:$J$3900, Ingresos!$L$9:$L$3900, $I$3, Ingresos!$M$9:$M$3900, $I$4, Ingresos!$D$9:$D$3900, B46)</f>
        <v>0</v>
      </c>
      <c r="J46" s="2">
        <f>SUMIFS(Ingresos!$J$9:$J$3900, Ingresos!$L$9:$L$3900, $J$3, Ingresos!$M$9:$M$3900, $J$4, Ingresos!$D$9:$D$3900, B46)</f>
        <v>0</v>
      </c>
      <c r="K46" s="2">
        <f>SUMIFS(Ingresos!$J$9:$J$3900, Ingresos!$L$9:$L$3900, $K$3, Ingresos!$M$9:$M$3900, $K$4, Ingresos!$D$9:$D$3900, B46)</f>
        <v>0</v>
      </c>
      <c r="L46" s="2">
        <f>SUMIFS(Ingresos!$J$9:$J$3900, Ingresos!$L$9:$L$3900, $L$3, Ingresos!$M$9:$M$3900, $L$4, Ingresos!$D$9:$D$3900, B46)</f>
        <v>0</v>
      </c>
      <c r="M46" s="2">
        <f>SUMIFS(Ingresos!$J$9:$J$3900, Ingresos!$L$9:$L$3900, $M$3, Ingresos!$M$9:$M$3900, $M$4, Ingresos!$D$9:$D$3900, B46)</f>
        <v>0</v>
      </c>
      <c r="N46" s="2">
        <f>SUMIFS(Ingresos!$J$9:$J$3900, Ingresos!$L$9:$L$3900, $N$3, Ingresos!$M$9:$M$3900, $N$4, Ingresos!$D$9:$D$3900, B46)</f>
        <v>0</v>
      </c>
      <c r="O46" s="2">
        <f t="shared" si="6"/>
        <v>0</v>
      </c>
      <c r="Q46" s="2" t="e">
        <f>#REF!</f>
        <v>#REF!</v>
      </c>
      <c r="R46" s="2">
        <f>SUMIFS(Gastos!$J$9:$J$4091, Gastos!$L$9:$L$4091, $R$3, Gastos!$M$9:$M$4091, $R$4, Gastos!$D$9:$D$4091, Q46)</f>
        <v>0</v>
      </c>
      <c r="S46" s="2">
        <f>SUMIFS(Gastos!$J$9:$J$4091, Gastos!$L$9:$L$4091, $S$3, Gastos!$M$9:$M$4091, $S$4, Gastos!$D$9:$D$4091, Q46)</f>
        <v>0</v>
      </c>
      <c r="T46" s="2">
        <f>SUMIFS(Gastos!$J$9:$J$4091, Gastos!$L$9:$L$4091, $T$3, Gastos!$M$9:$M$4091, $T$4, Gastos!$D$9:$D$4091, Q46)</f>
        <v>0</v>
      </c>
      <c r="U46" s="2">
        <f>SUMIFS(Gastos!$J$9:$J$4091, Gastos!$L$9:$L$4091, $U$3, Gastos!$M$9:$M$4091, $U$4, Gastos!$D$9:$D$4091, Q46)</f>
        <v>0</v>
      </c>
      <c r="V46" s="2">
        <f>SUMIFS(Gastos!$J$9:$J$4091, Gastos!$L$9:$L$4091, $V$3, Gastos!$M$9:$M$4091, $V$4, Gastos!$D$9:$D$4091, Q46)</f>
        <v>0</v>
      </c>
      <c r="W46" s="2">
        <f>SUMIFS(Gastos!$J$9:$J$4091, Gastos!$L$9:$L$4091, $W$3, Gastos!$M$9:$M$4091, $W$4, Gastos!$D$9:$D$4091, Q46)</f>
        <v>0</v>
      </c>
      <c r="X46" s="2">
        <f>SUMIFS(Gastos!$J$9:$J$4091, Gastos!$L$9:$L$4091, $X$3, Gastos!$M$9:$M$4091, $X$4, Gastos!$D$9:$D$4091, Q46)</f>
        <v>0</v>
      </c>
      <c r="Y46" s="2">
        <f>SUMIFS(Gastos!$J$9:$J$4091, Gastos!$L$9:$L$4091, $Y$3, Gastos!$M$9:$M$4091, $Y$4, Gastos!$D$9:$D$4091, Q46)</f>
        <v>0</v>
      </c>
      <c r="Z46" s="2">
        <f>SUMIFS(Gastos!$J$9:$J$4091, Gastos!$L$9:$L$4091, $Z$3, Gastos!$M$9:$M$4091, $Z$4, Gastos!$D$9:$D$4091, Q46)</f>
        <v>0</v>
      </c>
      <c r="AA46" s="2">
        <f>SUMIFS(Gastos!$J$9:$J$4091, Gastos!$L$9:$L$4091, $AA$3, Gastos!$M$9:$M$4091, $AA$4, Gastos!$D$9:$D$4091, Q46)</f>
        <v>0</v>
      </c>
      <c r="AB46" s="2">
        <f>SUMIFS(Gastos!$J$9:$J$4091, Gastos!$L$9:$L$4091, $AB$3, Gastos!$M$9:$M$4091, $AB$4, Gastos!$D$9:$D$4091, Q46)</f>
        <v>0</v>
      </c>
      <c r="AC46" s="2">
        <f>SUMIFS(Gastos!$J$9:$J$4091, Gastos!$L$9:$L$4091, $AC$3, Gastos!$M$9:$M$4091, $AC$4, Gastos!$D$9:$D$4091, Q46)</f>
        <v>0</v>
      </c>
      <c r="AD46" s="2">
        <f t="shared" si="7"/>
        <v>0</v>
      </c>
      <c r="AK46" s="21" t="e">
        <f>#REF!</f>
        <v>#REF!</v>
      </c>
      <c r="AL46" s="1" t="e">
        <f>#REF!</f>
        <v>#REF!</v>
      </c>
      <c r="AM46" s="1" t="e">
        <f>#REF!</f>
        <v>#REF!</v>
      </c>
      <c r="AN46" s="1" t="e">
        <f t="shared" ref="AN46:AN56" si="16">AL46-AM46</f>
        <v>#REF!</v>
      </c>
    </row>
    <row r="47" spans="2:42">
      <c r="B47" s="2" t="e">
        <f>#REF!</f>
        <v>#REF!</v>
      </c>
      <c r="C47" s="2">
        <f>SUMIFS(Ingresos!$J$9:$J$3900, Ingresos!$L$9:$L$3900, $C$3, Ingresos!$M$9:$M$3900, $C$4, Ingresos!$D$9:$D$3900, B47)</f>
        <v>0</v>
      </c>
      <c r="D47" s="2">
        <f>SUMIFS(Ingresos!$J$9:$J$3900, Ingresos!$L$9:$L$3900, $D$3, Ingresos!$M$9:$M$3900, $D$4, Ingresos!$D$9:$D$3900, B47)</f>
        <v>0</v>
      </c>
      <c r="E47" s="2">
        <f>SUMIFS(Ingresos!$J$9:$J$3900, Ingresos!$L$9:$L$3900, $E$3, Ingresos!$M$9:$M$3900, $E$4, Ingresos!$D$9:$D$3900, B47)</f>
        <v>0</v>
      </c>
      <c r="F47" s="2">
        <f>SUMIFS(Ingresos!$J$9:$J$3900, Ingresos!$L$9:$L$3900, $F$3, Ingresos!$M$9:$M$3900, $F$4, Ingresos!$D$9:$D$3900, B47)</f>
        <v>0</v>
      </c>
      <c r="G47" s="2">
        <f>SUMIFS(Ingresos!$J$9:$J$3900, Ingresos!$L$9:$L$3900, $G$3, Ingresos!$M$9:$M$3900, $G$4, Ingresos!$D$9:$D$3900, B47)</f>
        <v>0</v>
      </c>
      <c r="H47" s="2">
        <f>SUMIFS(Ingresos!$J$9:$J$3900, Ingresos!$L$9:$L$3900, $H$3, Ingresos!$M$9:$M$3900, $H$4, Ingresos!$D$9:$D$3900, B47)</f>
        <v>0</v>
      </c>
      <c r="I47" s="2">
        <f>SUMIFS(Ingresos!$J$9:$J$3900, Ingresos!$L$9:$L$3900, $I$3, Ingresos!$M$9:$M$3900, $I$4, Ingresos!$D$9:$D$3900, B47)</f>
        <v>0</v>
      </c>
      <c r="J47" s="2">
        <f>SUMIFS(Ingresos!$J$9:$J$3900, Ingresos!$L$9:$L$3900, $J$3, Ingresos!$M$9:$M$3900, $J$4, Ingresos!$D$9:$D$3900, B47)</f>
        <v>0</v>
      </c>
      <c r="K47" s="2">
        <f>SUMIFS(Ingresos!$J$9:$J$3900, Ingresos!$L$9:$L$3900, $K$3, Ingresos!$M$9:$M$3900, $K$4, Ingresos!$D$9:$D$3900, B47)</f>
        <v>0</v>
      </c>
      <c r="L47" s="2">
        <f>SUMIFS(Ingresos!$J$9:$J$3900, Ingresos!$L$9:$L$3900, $L$3, Ingresos!$M$9:$M$3900, $L$4, Ingresos!$D$9:$D$3900, B47)</f>
        <v>0</v>
      </c>
      <c r="M47" s="2">
        <f>SUMIFS(Ingresos!$J$9:$J$3900, Ingresos!$L$9:$L$3900, $M$3, Ingresos!$M$9:$M$3900, $M$4, Ingresos!$D$9:$D$3900, B47)</f>
        <v>0</v>
      </c>
      <c r="N47" s="2">
        <f>SUMIFS(Ingresos!$J$9:$J$3900, Ingresos!$L$9:$L$3900, $N$3, Ingresos!$M$9:$M$3900, $N$4, Ingresos!$D$9:$D$3900, B47)</f>
        <v>0</v>
      </c>
      <c r="O47" s="2">
        <f t="shared" si="6"/>
        <v>0</v>
      </c>
      <c r="Q47" s="2" t="e">
        <f>#REF!</f>
        <v>#REF!</v>
      </c>
      <c r="R47" s="2">
        <f>SUMIFS(Gastos!$J$9:$J$4091, Gastos!$L$9:$L$4091, $R$3, Gastos!$M$9:$M$4091, $R$4, Gastos!$D$9:$D$4091, Q47)</f>
        <v>0</v>
      </c>
      <c r="S47" s="2">
        <f>SUMIFS(Gastos!$J$9:$J$4091, Gastos!$L$9:$L$4091, $S$3, Gastos!$M$9:$M$4091, $S$4, Gastos!$D$9:$D$4091, Q47)</f>
        <v>0</v>
      </c>
      <c r="T47" s="2">
        <f>SUMIFS(Gastos!$J$9:$J$4091, Gastos!$L$9:$L$4091, $T$3, Gastos!$M$9:$M$4091, $T$4, Gastos!$D$9:$D$4091, Q47)</f>
        <v>0</v>
      </c>
      <c r="U47" s="2">
        <f>SUMIFS(Gastos!$J$9:$J$4091, Gastos!$L$9:$L$4091, $U$3, Gastos!$M$9:$M$4091, $U$4, Gastos!$D$9:$D$4091, Q47)</f>
        <v>0</v>
      </c>
      <c r="V47" s="2">
        <f>SUMIFS(Gastos!$J$9:$J$4091, Gastos!$L$9:$L$4091, $V$3, Gastos!$M$9:$M$4091, $V$4, Gastos!$D$9:$D$4091, Q47)</f>
        <v>0</v>
      </c>
      <c r="W47" s="2">
        <f>SUMIFS(Gastos!$J$9:$J$4091, Gastos!$L$9:$L$4091, $W$3, Gastos!$M$9:$M$4091, $W$4, Gastos!$D$9:$D$4091, Q47)</f>
        <v>0</v>
      </c>
      <c r="X47" s="2">
        <f>SUMIFS(Gastos!$J$9:$J$4091, Gastos!$L$9:$L$4091, $X$3, Gastos!$M$9:$M$4091, $X$4, Gastos!$D$9:$D$4091, Q47)</f>
        <v>0</v>
      </c>
      <c r="Y47" s="2">
        <f>SUMIFS(Gastos!$J$9:$J$4091, Gastos!$L$9:$L$4091, $Y$3, Gastos!$M$9:$M$4091, $Y$4, Gastos!$D$9:$D$4091, Q47)</f>
        <v>0</v>
      </c>
      <c r="Z47" s="2">
        <f>SUMIFS(Gastos!$J$9:$J$4091, Gastos!$L$9:$L$4091, $Z$3, Gastos!$M$9:$M$4091, $Z$4, Gastos!$D$9:$D$4091, Q47)</f>
        <v>0</v>
      </c>
      <c r="AA47" s="2">
        <f>SUMIFS(Gastos!$J$9:$J$4091, Gastos!$L$9:$L$4091, $AA$3, Gastos!$M$9:$M$4091, $AA$4, Gastos!$D$9:$D$4091, Q47)</f>
        <v>0</v>
      </c>
      <c r="AB47" s="2">
        <f>SUMIFS(Gastos!$J$9:$J$4091, Gastos!$L$9:$L$4091, $AB$3, Gastos!$M$9:$M$4091, $AB$4, Gastos!$D$9:$D$4091, Q47)</f>
        <v>0</v>
      </c>
      <c r="AC47" s="2">
        <f>SUMIFS(Gastos!$J$9:$J$4091, Gastos!$L$9:$L$4091, $AC$3, Gastos!$M$9:$M$4091, $AC$4, Gastos!$D$9:$D$4091, Q47)</f>
        <v>0</v>
      </c>
      <c r="AD47" s="2">
        <f t="shared" si="7"/>
        <v>0</v>
      </c>
      <c r="AK47" s="21" t="e">
        <f>#REF!</f>
        <v>#REF!</v>
      </c>
      <c r="AL47" s="1" t="e">
        <f>#REF!</f>
        <v>#REF!</v>
      </c>
      <c r="AM47" s="1" t="e">
        <f>#REF!</f>
        <v>#REF!</v>
      </c>
      <c r="AN47" s="1" t="e">
        <f t="shared" si="16"/>
        <v>#REF!</v>
      </c>
    </row>
    <row r="48" spans="2:42">
      <c r="B48" s="2" t="e">
        <f>#REF!</f>
        <v>#REF!</v>
      </c>
      <c r="C48" s="2">
        <f>SUMIFS(Ingresos!$J$9:$J$3900, Ingresos!$L$9:$L$3900, $C$3, Ingresos!$M$9:$M$3900, $C$4, Ingresos!$D$9:$D$3900, B48)</f>
        <v>0</v>
      </c>
      <c r="D48" s="2">
        <f>SUMIFS(Ingresos!$J$9:$J$3900, Ingresos!$L$9:$L$3900, $D$3, Ingresos!$M$9:$M$3900, $D$4, Ingresos!$D$9:$D$3900, B48)</f>
        <v>0</v>
      </c>
      <c r="E48" s="2">
        <f>SUMIFS(Ingresos!$J$9:$J$3900, Ingresos!$L$9:$L$3900, $E$3, Ingresos!$M$9:$M$3900, $E$4, Ingresos!$D$9:$D$3900, B48)</f>
        <v>0</v>
      </c>
      <c r="F48" s="2">
        <f>SUMIFS(Ingresos!$J$9:$J$3900, Ingresos!$L$9:$L$3900, $F$3, Ingresos!$M$9:$M$3900, $F$4, Ingresos!$D$9:$D$3900, B48)</f>
        <v>0</v>
      </c>
      <c r="G48" s="2">
        <f>SUMIFS(Ingresos!$J$9:$J$3900, Ingresos!$L$9:$L$3900, $G$3, Ingresos!$M$9:$M$3900, $G$4, Ingresos!$D$9:$D$3900, B48)</f>
        <v>0</v>
      </c>
      <c r="H48" s="2">
        <f>SUMIFS(Ingresos!$J$9:$J$3900, Ingresos!$L$9:$L$3900, $H$3, Ingresos!$M$9:$M$3900, $H$4, Ingresos!$D$9:$D$3900, B48)</f>
        <v>0</v>
      </c>
      <c r="I48" s="2">
        <f>SUMIFS(Ingresos!$J$9:$J$3900, Ingresos!$L$9:$L$3900, $I$3, Ingresos!$M$9:$M$3900, $I$4, Ingresos!$D$9:$D$3900, B48)</f>
        <v>0</v>
      </c>
      <c r="J48" s="2">
        <f>SUMIFS(Ingresos!$J$9:$J$3900, Ingresos!$L$9:$L$3900, $J$3, Ingresos!$M$9:$M$3900, $J$4, Ingresos!$D$9:$D$3900, B48)</f>
        <v>0</v>
      </c>
      <c r="K48" s="2">
        <f>SUMIFS(Ingresos!$J$9:$J$3900, Ingresos!$L$9:$L$3900, $K$3, Ingresos!$M$9:$M$3900, $K$4, Ingresos!$D$9:$D$3900, B48)</f>
        <v>0</v>
      </c>
      <c r="L48" s="2">
        <f>SUMIFS(Ingresos!$J$9:$J$3900, Ingresos!$L$9:$L$3900, $L$3, Ingresos!$M$9:$M$3900, $L$4, Ingresos!$D$9:$D$3900, B48)</f>
        <v>0</v>
      </c>
      <c r="M48" s="2">
        <f>SUMIFS(Ingresos!$J$9:$J$3900, Ingresos!$L$9:$L$3900, $M$3, Ingresos!$M$9:$M$3900, $M$4, Ingresos!$D$9:$D$3900, B48)</f>
        <v>0</v>
      </c>
      <c r="N48" s="2">
        <f>SUMIFS(Ingresos!$J$9:$J$3900, Ingresos!$L$9:$L$3900, $N$3, Ingresos!$M$9:$M$3900, $N$4, Ingresos!$D$9:$D$3900, B48)</f>
        <v>0</v>
      </c>
      <c r="O48" s="2">
        <f t="shared" si="6"/>
        <v>0</v>
      </c>
      <c r="Q48" s="2" t="e">
        <f>#REF!</f>
        <v>#REF!</v>
      </c>
      <c r="R48" s="2">
        <f>SUMIFS(Gastos!$J$9:$J$4091, Gastos!$L$9:$L$4091, $R$3, Gastos!$M$9:$M$4091, $R$4, Gastos!$D$9:$D$4091, Q48)</f>
        <v>0</v>
      </c>
      <c r="S48" s="2">
        <f>SUMIFS(Gastos!$J$9:$J$4091, Gastos!$L$9:$L$4091, $S$3, Gastos!$M$9:$M$4091, $S$4, Gastos!$D$9:$D$4091, Q48)</f>
        <v>0</v>
      </c>
      <c r="T48" s="2">
        <f>SUMIFS(Gastos!$J$9:$J$4091, Gastos!$L$9:$L$4091, $T$3, Gastos!$M$9:$M$4091, $T$4, Gastos!$D$9:$D$4091, Q48)</f>
        <v>0</v>
      </c>
      <c r="U48" s="2">
        <f>SUMIFS(Gastos!$J$9:$J$4091, Gastos!$L$9:$L$4091, $U$3, Gastos!$M$9:$M$4091, $U$4, Gastos!$D$9:$D$4091, Q48)</f>
        <v>0</v>
      </c>
      <c r="V48" s="2">
        <f>SUMIFS(Gastos!$J$9:$J$4091, Gastos!$L$9:$L$4091, $V$3, Gastos!$M$9:$M$4091, $V$4, Gastos!$D$9:$D$4091, Q48)</f>
        <v>0</v>
      </c>
      <c r="W48" s="2">
        <f>SUMIFS(Gastos!$J$9:$J$4091, Gastos!$L$9:$L$4091, $W$3, Gastos!$M$9:$M$4091, $W$4, Gastos!$D$9:$D$4091, Q48)</f>
        <v>0</v>
      </c>
      <c r="X48" s="2">
        <f>SUMIFS(Gastos!$J$9:$J$4091, Gastos!$L$9:$L$4091, $X$3, Gastos!$M$9:$M$4091, $X$4, Gastos!$D$9:$D$4091, Q48)</f>
        <v>0</v>
      </c>
      <c r="Y48" s="2">
        <f>SUMIFS(Gastos!$J$9:$J$4091, Gastos!$L$9:$L$4091, $Y$3, Gastos!$M$9:$M$4091, $Y$4, Gastos!$D$9:$D$4091, Q48)</f>
        <v>0</v>
      </c>
      <c r="Z48" s="2">
        <f>SUMIFS(Gastos!$J$9:$J$4091, Gastos!$L$9:$L$4091, $Z$3, Gastos!$M$9:$M$4091, $Z$4, Gastos!$D$9:$D$4091, Q48)</f>
        <v>0</v>
      </c>
      <c r="AA48" s="2">
        <f>SUMIFS(Gastos!$J$9:$J$4091, Gastos!$L$9:$L$4091, $AA$3, Gastos!$M$9:$M$4091, $AA$4, Gastos!$D$9:$D$4091, Q48)</f>
        <v>0</v>
      </c>
      <c r="AB48" s="2">
        <f>SUMIFS(Gastos!$J$9:$J$4091, Gastos!$L$9:$L$4091, $AB$3, Gastos!$M$9:$M$4091, $AB$4, Gastos!$D$9:$D$4091, Q48)</f>
        <v>0</v>
      </c>
      <c r="AC48" s="2">
        <f>SUMIFS(Gastos!$J$9:$J$4091, Gastos!$L$9:$L$4091, $AC$3, Gastos!$M$9:$M$4091, $AC$4, Gastos!$D$9:$D$4091, Q48)</f>
        <v>0</v>
      </c>
      <c r="AD48" s="2">
        <f t="shared" si="7"/>
        <v>0</v>
      </c>
      <c r="AK48" s="21" t="e">
        <f>#REF!</f>
        <v>#REF!</v>
      </c>
      <c r="AL48" s="1" t="e">
        <f>#REF!</f>
        <v>#REF!</v>
      </c>
      <c r="AM48" s="1" t="e">
        <f>#REF!</f>
        <v>#REF!</v>
      </c>
      <c r="AN48" s="1" t="e">
        <f t="shared" si="16"/>
        <v>#REF!</v>
      </c>
    </row>
    <row r="49" spans="2:40">
      <c r="B49" s="2" t="e">
        <f>#REF!</f>
        <v>#REF!</v>
      </c>
      <c r="C49" s="2">
        <f>SUMIFS(Ingresos!$J$9:$J$3900, Ingresos!$L$9:$L$3900, $C$3, Ingresos!$M$9:$M$3900, $C$4, Ingresos!$D$9:$D$3900, B49)</f>
        <v>0</v>
      </c>
      <c r="D49" s="2">
        <f>SUMIFS(Ingresos!$J$9:$J$3900, Ingresos!$L$9:$L$3900, $D$3, Ingresos!$M$9:$M$3900, $D$4, Ingresos!$D$9:$D$3900, B49)</f>
        <v>0</v>
      </c>
      <c r="E49" s="2">
        <f>SUMIFS(Ingresos!$J$9:$J$3900, Ingresos!$L$9:$L$3900, $E$3, Ingresos!$M$9:$M$3900, $E$4, Ingresos!$D$9:$D$3900, B49)</f>
        <v>0</v>
      </c>
      <c r="F49" s="2">
        <f>SUMIFS(Ingresos!$J$9:$J$3900, Ingresos!$L$9:$L$3900, $F$3, Ingresos!$M$9:$M$3900, $F$4, Ingresos!$D$9:$D$3900, B49)</f>
        <v>0</v>
      </c>
      <c r="G49" s="2">
        <f>SUMIFS(Ingresos!$J$9:$J$3900, Ingresos!$L$9:$L$3900, $G$3, Ingresos!$M$9:$M$3900, $G$4, Ingresos!$D$9:$D$3900, B49)</f>
        <v>0</v>
      </c>
      <c r="H49" s="2">
        <f>SUMIFS(Ingresos!$J$9:$J$3900, Ingresos!$L$9:$L$3900, $H$3, Ingresos!$M$9:$M$3900, $H$4, Ingresos!$D$9:$D$3900, B49)</f>
        <v>0</v>
      </c>
      <c r="I49" s="2">
        <f>SUMIFS(Ingresos!$J$9:$J$3900, Ingresos!$L$9:$L$3900, $I$3, Ingresos!$M$9:$M$3900, $I$4, Ingresos!$D$9:$D$3900, B49)</f>
        <v>0</v>
      </c>
      <c r="J49" s="2">
        <f>SUMIFS(Ingresos!$J$9:$J$3900, Ingresos!$L$9:$L$3900, $J$3, Ingresos!$M$9:$M$3900, $J$4, Ingresos!$D$9:$D$3900, B49)</f>
        <v>0</v>
      </c>
      <c r="K49" s="2">
        <f>SUMIFS(Ingresos!$J$9:$J$3900, Ingresos!$L$9:$L$3900, $K$3, Ingresos!$M$9:$M$3900, $K$4, Ingresos!$D$9:$D$3900, B49)</f>
        <v>0</v>
      </c>
      <c r="L49" s="2">
        <f>SUMIFS(Ingresos!$J$9:$J$3900, Ingresos!$L$9:$L$3900, $L$3, Ingresos!$M$9:$M$3900, $L$4, Ingresos!$D$9:$D$3900, B49)</f>
        <v>0</v>
      </c>
      <c r="M49" s="2">
        <f>SUMIFS(Ingresos!$J$9:$J$3900, Ingresos!$L$9:$L$3900, $M$3, Ingresos!$M$9:$M$3900, $M$4, Ingresos!$D$9:$D$3900, B49)</f>
        <v>0</v>
      </c>
      <c r="N49" s="2">
        <f>SUMIFS(Ingresos!$J$9:$J$3900, Ingresos!$L$9:$L$3900, $N$3, Ingresos!$M$9:$M$3900, $N$4, Ingresos!$D$9:$D$3900, B49)</f>
        <v>0</v>
      </c>
      <c r="O49" s="2">
        <f t="shared" si="6"/>
        <v>0</v>
      </c>
      <c r="Q49" s="2" t="e">
        <f>#REF!</f>
        <v>#REF!</v>
      </c>
      <c r="R49" s="2">
        <f>SUMIFS(Gastos!$J$9:$J$4091, Gastos!$L$9:$L$4091, $R$3, Gastos!$M$9:$M$4091, $R$4, Gastos!$D$9:$D$4091, Q49)</f>
        <v>0</v>
      </c>
      <c r="S49" s="2">
        <f>SUMIFS(Gastos!$J$9:$J$4091, Gastos!$L$9:$L$4091, $S$3, Gastos!$M$9:$M$4091, $S$4, Gastos!$D$9:$D$4091, Q49)</f>
        <v>0</v>
      </c>
      <c r="T49" s="2">
        <f>SUMIFS(Gastos!$J$9:$J$4091, Gastos!$L$9:$L$4091, $T$3, Gastos!$M$9:$M$4091, $T$4, Gastos!$D$9:$D$4091, Q49)</f>
        <v>0</v>
      </c>
      <c r="U49" s="2">
        <f>SUMIFS(Gastos!$J$9:$J$4091, Gastos!$L$9:$L$4091, $U$3, Gastos!$M$9:$M$4091, $U$4, Gastos!$D$9:$D$4091, Q49)</f>
        <v>0</v>
      </c>
      <c r="V49" s="2">
        <f>SUMIFS(Gastos!$J$9:$J$4091, Gastos!$L$9:$L$4091, $V$3, Gastos!$M$9:$M$4091, $V$4, Gastos!$D$9:$D$4091, Q49)</f>
        <v>0</v>
      </c>
      <c r="W49" s="2">
        <f>SUMIFS(Gastos!$J$9:$J$4091, Gastos!$L$9:$L$4091, $W$3, Gastos!$M$9:$M$4091, $W$4, Gastos!$D$9:$D$4091, Q49)</f>
        <v>0</v>
      </c>
      <c r="X49" s="2">
        <f>SUMIFS(Gastos!$J$9:$J$4091, Gastos!$L$9:$L$4091, $X$3, Gastos!$M$9:$M$4091, $X$4, Gastos!$D$9:$D$4091, Q49)</f>
        <v>0</v>
      </c>
      <c r="Y49" s="2">
        <f>SUMIFS(Gastos!$J$9:$J$4091, Gastos!$L$9:$L$4091, $Y$3, Gastos!$M$9:$M$4091, $Y$4, Gastos!$D$9:$D$4091, Q49)</f>
        <v>0</v>
      </c>
      <c r="Z49" s="2">
        <f>SUMIFS(Gastos!$J$9:$J$4091, Gastos!$L$9:$L$4091, $Z$3, Gastos!$M$9:$M$4091, $Z$4, Gastos!$D$9:$D$4091, Q49)</f>
        <v>0</v>
      </c>
      <c r="AA49" s="2">
        <f>SUMIFS(Gastos!$J$9:$J$4091, Gastos!$L$9:$L$4091, $AA$3, Gastos!$M$9:$M$4091, $AA$4, Gastos!$D$9:$D$4091, Q49)</f>
        <v>0</v>
      </c>
      <c r="AB49" s="2">
        <f>SUMIFS(Gastos!$J$9:$J$4091, Gastos!$L$9:$L$4091, $AB$3, Gastos!$M$9:$M$4091, $AB$4, Gastos!$D$9:$D$4091, Q49)</f>
        <v>0</v>
      </c>
      <c r="AC49" s="2">
        <f>SUMIFS(Gastos!$J$9:$J$4091, Gastos!$L$9:$L$4091, $AC$3, Gastos!$M$9:$M$4091, $AC$4, Gastos!$D$9:$D$4091, Q49)</f>
        <v>0</v>
      </c>
      <c r="AD49" s="2">
        <f t="shared" si="7"/>
        <v>0</v>
      </c>
      <c r="AK49" s="21" t="e">
        <f>#REF!</f>
        <v>#REF!</v>
      </c>
      <c r="AL49" s="1" t="e">
        <f>#REF!</f>
        <v>#REF!</v>
      </c>
      <c r="AM49" s="1" t="e">
        <f>#REF!</f>
        <v>#REF!</v>
      </c>
      <c r="AN49" s="1" t="e">
        <f t="shared" si="16"/>
        <v>#REF!</v>
      </c>
    </row>
    <row r="50" spans="2:40">
      <c r="B50" s="2" t="e">
        <f>#REF!</f>
        <v>#REF!</v>
      </c>
      <c r="C50" s="2">
        <f>SUMIFS(Ingresos!$J$9:$J$3900, Ingresos!$L$9:$L$3900, $C$3, Ingresos!$M$9:$M$3900, $C$4, Ingresos!$D$9:$D$3900, B50)</f>
        <v>0</v>
      </c>
      <c r="D50" s="2">
        <f>SUMIFS(Ingresos!$J$9:$J$3900, Ingresos!$L$9:$L$3900, $D$3, Ingresos!$M$9:$M$3900, $D$4, Ingresos!$D$9:$D$3900, B50)</f>
        <v>0</v>
      </c>
      <c r="E50" s="2">
        <f>SUMIFS(Ingresos!$J$9:$J$3900, Ingresos!$L$9:$L$3900, $E$3, Ingresos!$M$9:$M$3900, $E$4, Ingresos!$D$9:$D$3900, B50)</f>
        <v>0</v>
      </c>
      <c r="F50" s="2">
        <f>SUMIFS(Ingresos!$J$9:$J$3900, Ingresos!$L$9:$L$3900, $F$3, Ingresos!$M$9:$M$3900, $F$4, Ingresos!$D$9:$D$3900, B50)</f>
        <v>0</v>
      </c>
      <c r="G50" s="2">
        <f>SUMIFS(Ingresos!$J$9:$J$3900, Ingresos!$L$9:$L$3900, $G$3, Ingresos!$M$9:$M$3900, $G$4, Ingresos!$D$9:$D$3900, B50)</f>
        <v>0</v>
      </c>
      <c r="H50" s="2">
        <f>SUMIFS(Ingresos!$J$9:$J$3900, Ingresos!$L$9:$L$3900, $H$3, Ingresos!$M$9:$M$3900, $H$4, Ingresos!$D$9:$D$3900, B50)</f>
        <v>0</v>
      </c>
      <c r="I50" s="2">
        <f>SUMIFS(Ingresos!$J$9:$J$3900, Ingresos!$L$9:$L$3900, $I$3, Ingresos!$M$9:$M$3900, $I$4, Ingresos!$D$9:$D$3900, B50)</f>
        <v>0</v>
      </c>
      <c r="J50" s="2">
        <f>SUMIFS(Ingresos!$J$9:$J$3900, Ingresos!$L$9:$L$3900, $J$3, Ingresos!$M$9:$M$3900, $J$4, Ingresos!$D$9:$D$3900, B50)</f>
        <v>0</v>
      </c>
      <c r="K50" s="2">
        <f>SUMIFS(Ingresos!$J$9:$J$3900, Ingresos!$L$9:$L$3900, $K$3, Ingresos!$M$9:$M$3900, $K$4, Ingresos!$D$9:$D$3900, B50)</f>
        <v>0</v>
      </c>
      <c r="L50" s="2">
        <f>SUMIFS(Ingresos!$J$9:$J$3900, Ingresos!$L$9:$L$3900, $L$3, Ingresos!$M$9:$M$3900, $L$4, Ingresos!$D$9:$D$3900, B50)</f>
        <v>0</v>
      </c>
      <c r="M50" s="2">
        <f>SUMIFS(Ingresos!$J$9:$J$3900, Ingresos!$L$9:$L$3900, $M$3, Ingresos!$M$9:$M$3900, $M$4, Ingresos!$D$9:$D$3900, B50)</f>
        <v>0</v>
      </c>
      <c r="N50" s="2">
        <f>SUMIFS(Ingresos!$J$9:$J$3900, Ingresos!$L$9:$L$3900, $N$3, Ingresos!$M$9:$M$3900, $N$4, Ingresos!$D$9:$D$3900, B50)</f>
        <v>0</v>
      </c>
      <c r="O50" s="2">
        <f t="shared" si="6"/>
        <v>0</v>
      </c>
      <c r="Q50" s="2" t="e">
        <f>#REF!</f>
        <v>#REF!</v>
      </c>
      <c r="R50" s="2">
        <f>SUMIFS(Gastos!$J$9:$J$4091, Gastos!$L$9:$L$4091, $R$3, Gastos!$M$9:$M$4091, $R$4, Gastos!$D$9:$D$4091, Q50)</f>
        <v>0</v>
      </c>
      <c r="S50" s="2">
        <f>SUMIFS(Gastos!$J$9:$J$4091, Gastos!$L$9:$L$4091, $S$3, Gastos!$M$9:$M$4091, $S$4, Gastos!$D$9:$D$4091, Q50)</f>
        <v>0</v>
      </c>
      <c r="T50" s="2">
        <f>SUMIFS(Gastos!$J$9:$J$4091, Gastos!$L$9:$L$4091, $T$3, Gastos!$M$9:$M$4091, $T$4, Gastos!$D$9:$D$4091, Q50)</f>
        <v>0</v>
      </c>
      <c r="U50" s="2">
        <f>SUMIFS(Gastos!$J$9:$J$4091, Gastos!$L$9:$L$4091, $U$3, Gastos!$M$9:$M$4091, $U$4, Gastos!$D$9:$D$4091, Q50)</f>
        <v>0</v>
      </c>
      <c r="V50" s="2">
        <f>SUMIFS(Gastos!$J$9:$J$4091, Gastos!$L$9:$L$4091, $V$3, Gastos!$M$9:$M$4091, $V$4, Gastos!$D$9:$D$4091, Q50)</f>
        <v>0</v>
      </c>
      <c r="W50" s="2">
        <f>SUMIFS(Gastos!$J$9:$J$4091, Gastos!$L$9:$L$4091, $W$3, Gastos!$M$9:$M$4091, $W$4, Gastos!$D$9:$D$4091, Q50)</f>
        <v>0</v>
      </c>
      <c r="X50" s="2">
        <f>SUMIFS(Gastos!$J$9:$J$4091, Gastos!$L$9:$L$4091, $X$3, Gastos!$M$9:$M$4091, $X$4, Gastos!$D$9:$D$4091, Q50)</f>
        <v>0</v>
      </c>
      <c r="Y50" s="2">
        <f>SUMIFS(Gastos!$J$9:$J$4091, Gastos!$L$9:$L$4091, $Y$3, Gastos!$M$9:$M$4091, $Y$4, Gastos!$D$9:$D$4091, Q50)</f>
        <v>0</v>
      </c>
      <c r="Z50" s="2">
        <f>SUMIFS(Gastos!$J$9:$J$4091, Gastos!$L$9:$L$4091, $Z$3, Gastos!$M$9:$M$4091, $Z$4, Gastos!$D$9:$D$4091, Q50)</f>
        <v>0</v>
      </c>
      <c r="AA50" s="2">
        <f>SUMIFS(Gastos!$J$9:$J$4091, Gastos!$L$9:$L$4091, $AA$3, Gastos!$M$9:$M$4091, $AA$4, Gastos!$D$9:$D$4091, Q50)</f>
        <v>0</v>
      </c>
      <c r="AB50" s="2">
        <f>SUMIFS(Gastos!$J$9:$J$4091, Gastos!$L$9:$L$4091, $AB$3, Gastos!$M$9:$M$4091, $AB$4, Gastos!$D$9:$D$4091, Q50)</f>
        <v>0</v>
      </c>
      <c r="AC50" s="2">
        <f>SUMIFS(Gastos!$J$9:$J$4091, Gastos!$L$9:$L$4091, $AC$3, Gastos!$M$9:$M$4091, $AC$4, Gastos!$D$9:$D$4091, Q50)</f>
        <v>0</v>
      </c>
      <c r="AD50" s="2">
        <f t="shared" si="7"/>
        <v>0</v>
      </c>
      <c r="AK50" s="21" t="e">
        <f>#REF!</f>
        <v>#REF!</v>
      </c>
      <c r="AL50" s="1" t="e">
        <f>#REF!</f>
        <v>#REF!</v>
      </c>
      <c r="AM50" s="1" t="e">
        <f>#REF!</f>
        <v>#REF!</v>
      </c>
      <c r="AN50" s="1" t="e">
        <f t="shared" si="16"/>
        <v>#REF!</v>
      </c>
    </row>
    <row r="51" spans="2:40">
      <c r="B51" s="2" t="e">
        <f>#REF!</f>
        <v>#REF!</v>
      </c>
      <c r="C51" s="2">
        <f>SUMIFS(Ingresos!$J$9:$J$3900, Ingresos!$L$9:$L$3900, $C$3, Ingresos!$M$9:$M$3900, $C$4, Ingresos!$D$9:$D$3900, B51)</f>
        <v>0</v>
      </c>
      <c r="D51" s="2">
        <f>SUMIFS(Ingresos!$J$9:$J$3900, Ingresos!$L$9:$L$3900, $D$3, Ingresos!$M$9:$M$3900, $D$4, Ingresos!$D$9:$D$3900, B51)</f>
        <v>0</v>
      </c>
      <c r="E51" s="2">
        <f>SUMIFS(Ingresos!$J$9:$J$3900, Ingresos!$L$9:$L$3900, $E$3, Ingresos!$M$9:$M$3900, $E$4, Ingresos!$D$9:$D$3900, B51)</f>
        <v>0</v>
      </c>
      <c r="F51" s="2">
        <f>SUMIFS(Ingresos!$J$9:$J$3900, Ingresos!$L$9:$L$3900, $F$3, Ingresos!$M$9:$M$3900, $F$4, Ingresos!$D$9:$D$3900, B51)</f>
        <v>0</v>
      </c>
      <c r="G51" s="2">
        <f>SUMIFS(Ingresos!$J$9:$J$3900, Ingresos!$L$9:$L$3900, $G$3, Ingresos!$M$9:$M$3900, $G$4, Ingresos!$D$9:$D$3900, B51)</f>
        <v>0</v>
      </c>
      <c r="H51" s="2">
        <f>SUMIFS(Ingresos!$J$9:$J$3900, Ingresos!$L$9:$L$3900, $H$3, Ingresos!$M$9:$M$3900, $H$4, Ingresos!$D$9:$D$3900, B51)</f>
        <v>0</v>
      </c>
      <c r="I51" s="2">
        <f>SUMIFS(Ingresos!$J$9:$J$3900, Ingresos!$L$9:$L$3900, $I$3, Ingresos!$M$9:$M$3900, $I$4, Ingresos!$D$9:$D$3900, B51)</f>
        <v>0</v>
      </c>
      <c r="J51" s="2">
        <f>SUMIFS(Ingresos!$J$9:$J$3900, Ingresos!$L$9:$L$3900, $J$3, Ingresos!$M$9:$M$3900, $J$4, Ingresos!$D$9:$D$3900, B51)</f>
        <v>0</v>
      </c>
      <c r="K51" s="2">
        <f>SUMIFS(Ingresos!$J$9:$J$3900, Ingresos!$L$9:$L$3900, $K$3, Ingresos!$M$9:$M$3900, $K$4, Ingresos!$D$9:$D$3900, B51)</f>
        <v>0</v>
      </c>
      <c r="L51" s="2">
        <f>SUMIFS(Ingresos!$J$9:$J$3900, Ingresos!$L$9:$L$3900, $L$3, Ingresos!$M$9:$M$3900, $L$4, Ingresos!$D$9:$D$3900, B51)</f>
        <v>0</v>
      </c>
      <c r="M51" s="2">
        <f>SUMIFS(Ingresos!$J$9:$J$3900, Ingresos!$L$9:$L$3900, $M$3, Ingresos!$M$9:$M$3900, $M$4, Ingresos!$D$9:$D$3900, B51)</f>
        <v>0</v>
      </c>
      <c r="N51" s="2">
        <f>SUMIFS(Ingresos!$J$9:$J$3900, Ingresos!$L$9:$L$3900, $N$3, Ingresos!$M$9:$M$3900, $N$4, Ingresos!$D$9:$D$3900, B51)</f>
        <v>0</v>
      </c>
      <c r="O51" s="2">
        <f t="shared" si="6"/>
        <v>0</v>
      </c>
      <c r="Q51" s="2" t="e">
        <f>#REF!</f>
        <v>#REF!</v>
      </c>
      <c r="R51" s="2">
        <f>SUMIFS(Gastos!$J$9:$J$4091, Gastos!$L$9:$L$4091, $R$3, Gastos!$M$9:$M$4091, $R$4, Gastos!$D$9:$D$4091, Q51)</f>
        <v>0</v>
      </c>
      <c r="S51" s="2">
        <f>SUMIFS(Gastos!$J$9:$J$4091, Gastos!$L$9:$L$4091, $S$3, Gastos!$M$9:$M$4091, $S$4, Gastos!$D$9:$D$4091, Q51)</f>
        <v>0</v>
      </c>
      <c r="T51" s="2">
        <f>SUMIFS(Gastos!$J$9:$J$4091, Gastos!$L$9:$L$4091, $T$3, Gastos!$M$9:$M$4091, $T$4, Gastos!$D$9:$D$4091, Q51)</f>
        <v>0</v>
      </c>
      <c r="U51" s="2">
        <f>SUMIFS(Gastos!$J$9:$J$4091, Gastos!$L$9:$L$4091, $U$3, Gastos!$M$9:$M$4091, $U$4, Gastos!$D$9:$D$4091, Q51)</f>
        <v>0</v>
      </c>
      <c r="V51" s="2">
        <f>SUMIFS(Gastos!$J$9:$J$4091, Gastos!$L$9:$L$4091, $V$3, Gastos!$M$9:$M$4091, $V$4, Gastos!$D$9:$D$4091, Q51)</f>
        <v>0</v>
      </c>
      <c r="W51" s="2">
        <f>SUMIFS(Gastos!$J$9:$J$4091, Gastos!$L$9:$L$4091, $W$3, Gastos!$M$9:$M$4091, $W$4, Gastos!$D$9:$D$4091, Q51)</f>
        <v>0</v>
      </c>
      <c r="X51" s="2">
        <f>SUMIFS(Gastos!$J$9:$J$4091, Gastos!$L$9:$L$4091, $X$3, Gastos!$M$9:$M$4091, $X$4, Gastos!$D$9:$D$4091, Q51)</f>
        <v>0</v>
      </c>
      <c r="Y51" s="2">
        <f>SUMIFS(Gastos!$J$9:$J$4091, Gastos!$L$9:$L$4091, $Y$3, Gastos!$M$9:$M$4091, $Y$4, Gastos!$D$9:$D$4091, Q51)</f>
        <v>0</v>
      </c>
      <c r="Z51" s="2">
        <f>SUMIFS(Gastos!$J$9:$J$4091, Gastos!$L$9:$L$4091, $Z$3, Gastos!$M$9:$M$4091, $Z$4, Gastos!$D$9:$D$4091, Q51)</f>
        <v>0</v>
      </c>
      <c r="AA51" s="2">
        <f>SUMIFS(Gastos!$J$9:$J$4091, Gastos!$L$9:$L$4091, $AA$3, Gastos!$M$9:$M$4091, $AA$4, Gastos!$D$9:$D$4091, Q51)</f>
        <v>0</v>
      </c>
      <c r="AB51" s="2">
        <f>SUMIFS(Gastos!$J$9:$J$4091, Gastos!$L$9:$L$4091, $AB$3, Gastos!$M$9:$M$4091, $AB$4, Gastos!$D$9:$D$4091, Q51)</f>
        <v>0</v>
      </c>
      <c r="AC51" s="2">
        <f>SUMIFS(Gastos!$J$9:$J$4091, Gastos!$L$9:$L$4091, $AC$3, Gastos!$M$9:$M$4091, $AC$4, Gastos!$D$9:$D$4091, Q51)</f>
        <v>0</v>
      </c>
      <c r="AD51" s="2">
        <f t="shared" si="7"/>
        <v>0</v>
      </c>
      <c r="AK51" s="21" t="e">
        <f>#REF!</f>
        <v>#REF!</v>
      </c>
      <c r="AL51" s="1" t="e">
        <f>#REF!</f>
        <v>#REF!</v>
      </c>
      <c r="AM51" s="1" t="e">
        <f>#REF!</f>
        <v>#REF!</v>
      </c>
      <c r="AN51" s="1" t="e">
        <f t="shared" si="16"/>
        <v>#REF!</v>
      </c>
    </row>
    <row r="52" spans="2:40">
      <c r="AK52" s="21" t="e">
        <f>#REF!</f>
        <v>#REF!</v>
      </c>
      <c r="AL52" s="1" t="e">
        <f>#REF!</f>
        <v>#REF!</v>
      </c>
      <c r="AM52" s="1" t="e">
        <f>#REF!</f>
        <v>#REF!</v>
      </c>
      <c r="AN52" s="1" t="e">
        <f t="shared" si="16"/>
        <v>#REF!</v>
      </c>
    </row>
    <row r="53" spans="2:40">
      <c r="AK53" s="21" t="e">
        <f>#REF!</f>
        <v>#REF!</v>
      </c>
      <c r="AL53" s="1" t="e">
        <f>#REF!</f>
        <v>#REF!</v>
      </c>
      <c r="AM53" s="1" t="e">
        <f>#REF!</f>
        <v>#REF!</v>
      </c>
      <c r="AN53" s="1" t="e">
        <f t="shared" si="16"/>
        <v>#REF!</v>
      </c>
    </row>
    <row r="54" spans="2:40">
      <c r="AK54" s="21" t="e">
        <f>#REF!</f>
        <v>#REF!</v>
      </c>
      <c r="AL54" s="1" t="e">
        <f>#REF!</f>
        <v>#REF!</v>
      </c>
      <c r="AM54" s="1" t="e">
        <f>#REF!</f>
        <v>#REF!</v>
      </c>
      <c r="AN54" s="1" t="e">
        <f t="shared" si="16"/>
        <v>#REF!</v>
      </c>
    </row>
    <row r="55" spans="2:40">
      <c r="AK55" s="21" t="e">
        <f>#REF!</f>
        <v>#REF!</v>
      </c>
      <c r="AL55" s="1" t="e">
        <f>#REF!</f>
        <v>#REF!</v>
      </c>
      <c r="AM55" s="1" t="e">
        <f>#REF!</f>
        <v>#REF!</v>
      </c>
      <c r="AN55" s="1" t="e">
        <f t="shared" si="16"/>
        <v>#REF!</v>
      </c>
    </row>
    <row r="56" spans="2:40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AK56" s="21" t="e">
        <f>#REF!</f>
        <v>#REF!</v>
      </c>
      <c r="AL56" s="1" t="e">
        <f>#REF!</f>
        <v>#REF!</v>
      </c>
      <c r="AM56" s="1" t="e">
        <f>#REF!</f>
        <v>#REF!</v>
      </c>
      <c r="AN56" s="1" t="e">
        <f t="shared" si="16"/>
        <v>#REF!</v>
      </c>
    </row>
    <row r="57" spans="2:40">
      <c r="AK57" s="1" t="s">
        <v>25</v>
      </c>
      <c r="AL57" s="1" t="e">
        <f>SUM(AL45:AL56)</f>
        <v>#REF!</v>
      </c>
      <c r="AM57" s="1" t="e">
        <f t="shared" ref="AM57:AN57" si="17">SUM(AM45:AM56)</f>
        <v>#REF!</v>
      </c>
      <c r="AN57" s="1" t="e">
        <f t="shared" si="17"/>
        <v>#REF!</v>
      </c>
    </row>
    <row r="59" spans="2:40">
      <c r="B59" s="257" t="s">
        <v>128</v>
      </c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</row>
    <row r="60" spans="2:40">
      <c r="B60" s="2" t="e">
        <f>#REF!</f>
        <v>#REF!</v>
      </c>
      <c r="C60" s="2">
        <f>SUMIFS(Costos!$J$10:$J$4174, Costos!$L$10:$L$4174, $C$3, Costos!$M$10:$M$4174, $C$4, Costos!$D$10:$D$4174, B60)</f>
        <v>0</v>
      </c>
      <c r="D60" s="2">
        <f>SUMIFS(Costos!$J$10:$J$4174, Costos!$L$10:$L$4174, $D$3, Costos!$M$10:$M$4174, $D$4, Costos!$D$10:$D$4174, B60)</f>
        <v>0</v>
      </c>
      <c r="E60" s="2">
        <f>SUMIFS(Costos!$J$10:$J$4174, Costos!$L$10:$L$4174, $E$3, Costos!$M$10:$M$4174, $E$4, Costos!$D$10:$D$4174, B60)</f>
        <v>0</v>
      </c>
      <c r="F60" s="2">
        <f>SUMIFS(Costos!$J$10:$J$4174, Costos!$L$10:$L$4174, $F$3, Costos!$M$10:$M$4174, $F$4, Costos!$D$10:$D$4174, B60)</f>
        <v>0</v>
      </c>
      <c r="G60" s="2">
        <f>SUMIFS(Costos!$J$10:$J$4174, Costos!$L$10:$L$4174, $G$3, Costos!$M$10:$M$4174, $G$4, Costos!$D$10:$D$4174, B60)</f>
        <v>0</v>
      </c>
      <c r="H60" s="2">
        <f>SUMIFS(Costos!$J$10:$J$4174, Costos!$L$10:$L$4174, $H$3, Costos!$M$10:$M$4174, $H$4, Costos!$D$10:$D$4174, B60)</f>
        <v>0</v>
      </c>
      <c r="I60" s="2">
        <f>SUMIFS(Costos!$J$10:$J$4174, Costos!$L$10:$L$4174, $I$3, Costos!$M$10:$M$4174, $I$4, Costos!$D$10:$D$4174, B60)</f>
        <v>0</v>
      </c>
      <c r="J60" s="2">
        <f>SUMIFS(Costos!$J$10:$J$4174, Costos!$L$10:$L$4174, $J$3, Costos!$M$10:$M$4174, $J$4, Costos!$D$10:$D$4174, B60)</f>
        <v>0</v>
      </c>
      <c r="K60" s="2">
        <f>SUMIFS(Costos!$J$10:$J$4174, Costos!$L$10:$L$4174, $K$3, Costos!$M$10:$M$4174, $K$4, Costos!$D$10:$D$4174, B60)</f>
        <v>0</v>
      </c>
      <c r="L60" s="2">
        <f>SUMIFS(Costos!$J$10:$J$4174, Costos!$L$10:$L$4174, $L$3, Costos!$M$10:$M$4174, $L$4, Costos!$D$10:$D$4174, B60)</f>
        <v>0</v>
      </c>
      <c r="M60" s="2">
        <f>SUMIFS(Costos!$J$10:$J$4174, Costos!$L$10:$L$4174, $M$3, Costos!$M$10:$M$4174, $M$4, Costos!$D$10:$D$4174, B60)</f>
        <v>0</v>
      </c>
      <c r="N60" s="2">
        <f>SUMIFS(Costos!$J$10:$J$4174, Costos!$L$10:$L$4174, $N$3, Costos!$M$10:$M$4174, $N$4, Costos!$D$10:$D$4174, B60)</f>
        <v>0</v>
      </c>
      <c r="O60" s="2">
        <f>SUM(C60:N60)</f>
        <v>0</v>
      </c>
    </row>
    <row r="61" spans="2:40">
      <c r="B61" s="2" t="e">
        <f>#REF!</f>
        <v>#REF!</v>
      </c>
      <c r="C61" s="2">
        <f>SUMIFS(Costos!$J$10:$J$4174, Costos!$L$10:$L$4174, $C$3, Costos!$M$10:$M$4174, $C$4, Costos!$D$10:$D$4174, B61)</f>
        <v>0</v>
      </c>
      <c r="D61" s="2">
        <f>SUMIFS(Costos!$J$10:$J$4174, Costos!$L$10:$L$4174, $D$3, Costos!$M$10:$M$4174, $D$4, Costos!$D$10:$D$4174, B61)</f>
        <v>0</v>
      </c>
      <c r="E61" s="2">
        <f>SUMIFS(Costos!$J$10:$J$4174, Costos!$L$10:$L$4174, $E$3, Costos!$M$10:$M$4174, $E$4, Costos!$D$10:$D$4174, B61)</f>
        <v>0</v>
      </c>
      <c r="F61" s="2">
        <f>SUMIFS(Costos!$J$10:$J$4174, Costos!$L$10:$L$4174, $F$3, Costos!$M$10:$M$4174, $F$4, Costos!$D$10:$D$4174, B61)</f>
        <v>0</v>
      </c>
      <c r="G61" s="2">
        <f>SUMIFS(Costos!$J$10:$J$4174, Costos!$L$10:$L$4174, $G$3, Costos!$M$10:$M$4174, $G$4, Costos!$D$10:$D$4174, B61)</f>
        <v>0</v>
      </c>
      <c r="H61" s="2">
        <f>SUMIFS(Costos!$J$10:$J$4174, Costos!$L$10:$L$4174, $H$3, Costos!$M$10:$M$4174, $H$4, Costos!$D$10:$D$4174, B61)</f>
        <v>0</v>
      </c>
      <c r="I61" s="2">
        <f>SUMIFS(Costos!$J$10:$J$4174, Costos!$L$10:$L$4174, $I$3, Costos!$M$10:$M$4174, $I$4, Costos!$D$10:$D$4174, B61)</f>
        <v>0</v>
      </c>
      <c r="J61" s="2">
        <f>SUMIFS(Costos!$J$10:$J$4174, Costos!$L$10:$L$4174, $J$3, Costos!$M$10:$M$4174, $J$4, Costos!$D$10:$D$4174, B61)</f>
        <v>0</v>
      </c>
      <c r="K61" s="2">
        <f>SUMIFS(Costos!$J$10:$J$4174, Costos!$L$10:$L$4174, $K$3, Costos!$M$10:$M$4174, $K$4, Costos!$D$10:$D$4174, B61)</f>
        <v>0</v>
      </c>
      <c r="L61" s="2">
        <f>SUMIFS(Costos!$J$10:$J$4174, Costos!$L$10:$L$4174, $L$3, Costos!$M$10:$M$4174, $L$4, Costos!$D$10:$D$4174, B61)</f>
        <v>0</v>
      </c>
      <c r="M61" s="2">
        <f>SUMIFS(Costos!$J$10:$J$4174, Costos!$L$10:$L$4174, $M$3, Costos!$M$10:$M$4174, $M$4, Costos!$D$10:$D$4174, B61)</f>
        <v>0</v>
      </c>
      <c r="N61" s="2">
        <f>SUMIFS(Costos!$J$10:$J$4174, Costos!$L$10:$L$4174, $N$3, Costos!$M$10:$M$4174, $N$4, Costos!$D$10:$D$4174, B61)</f>
        <v>0</v>
      </c>
      <c r="O61" s="2">
        <f t="shared" ref="O61:O104" si="18">SUM(C61:N61)</f>
        <v>0</v>
      </c>
    </row>
    <row r="62" spans="2:40">
      <c r="B62" s="2" t="e">
        <f>#REF!</f>
        <v>#REF!</v>
      </c>
      <c r="C62" s="2">
        <f>SUMIFS(Costos!$J$10:$J$4174, Costos!$L$10:$L$4174, $C$3, Costos!$M$10:$M$4174, $C$4, Costos!$D$10:$D$4174, B62)</f>
        <v>0</v>
      </c>
      <c r="D62" s="2">
        <f>SUMIFS(Costos!$J$10:$J$4174, Costos!$L$10:$L$4174, $D$3, Costos!$M$10:$M$4174, $D$4, Costos!$D$10:$D$4174, B62)</f>
        <v>0</v>
      </c>
      <c r="E62" s="2">
        <f>SUMIFS(Costos!$J$10:$J$4174, Costos!$L$10:$L$4174, $E$3, Costos!$M$10:$M$4174, $E$4, Costos!$D$10:$D$4174, B62)</f>
        <v>0</v>
      </c>
      <c r="F62" s="2">
        <f>SUMIFS(Costos!$J$10:$J$4174, Costos!$L$10:$L$4174, $F$3, Costos!$M$10:$M$4174, $F$4, Costos!$D$10:$D$4174, B62)</f>
        <v>0</v>
      </c>
      <c r="G62" s="2">
        <f>SUMIFS(Costos!$J$10:$J$4174, Costos!$L$10:$L$4174, $G$3, Costos!$M$10:$M$4174, $G$4, Costos!$D$10:$D$4174, B62)</f>
        <v>0</v>
      </c>
      <c r="H62" s="2">
        <f>SUMIFS(Costos!$J$10:$J$4174, Costos!$L$10:$L$4174, $H$3, Costos!$M$10:$M$4174, $H$4, Costos!$D$10:$D$4174, B62)</f>
        <v>0</v>
      </c>
      <c r="I62" s="2">
        <f>SUMIFS(Costos!$J$10:$J$4174, Costos!$L$10:$L$4174, $I$3, Costos!$M$10:$M$4174, $I$4, Costos!$D$10:$D$4174, B62)</f>
        <v>0</v>
      </c>
      <c r="J62" s="2">
        <f>SUMIFS(Costos!$J$10:$J$4174, Costos!$L$10:$L$4174, $J$3, Costos!$M$10:$M$4174, $J$4, Costos!$D$10:$D$4174, B62)</f>
        <v>0</v>
      </c>
      <c r="K62" s="2">
        <f>SUMIFS(Costos!$J$10:$J$4174, Costos!$L$10:$L$4174, $K$3, Costos!$M$10:$M$4174, $K$4, Costos!$D$10:$D$4174, B62)</f>
        <v>0</v>
      </c>
      <c r="L62" s="2">
        <f>SUMIFS(Costos!$J$10:$J$4174, Costos!$L$10:$L$4174, $L$3, Costos!$M$10:$M$4174, $L$4, Costos!$D$10:$D$4174, B62)</f>
        <v>0</v>
      </c>
      <c r="M62" s="2">
        <f>SUMIFS(Costos!$J$10:$J$4174, Costos!$L$10:$L$4174, $M$3, Costos!$M$10:$M$4174, $M$4, Costos!$D$10:$D$4174, B62)</f>
        <v>0</v>
      </c>
      <c r="N62" s="2">
        <f>SUMIFS(Costos!$J$10:$J$4174, Costos!$L$10:$L$4174, $N$3, Costos!$M$10:$M$4174, $N$4, Costos!$D$10:$D$4174, B62)</f>
        <v>0</v>
      </c>
      <c r="O62" s="2">
        <f t="shared" si="18"/>
        <v>0</v>
      </c>
    </row>
    <row r="63" spans="2:40">
      <c r="B63" s="2" t="e">
        <f>#REF!</f>
        <v>#REF!</v>
      </c>
      <c r="C63" s="2">
        <f>SUMIFS(Costos!$J$10:$J$4174, Costos!$L$10:$L$4174, $C$3, Costos!$M$10:$M$4174, $C$4, Costos!$D$10:$D$4174, B63)</f>
        <v>0</v>
      </c>
      <c r="D63" s="2">
        <f>SUMIFS(Costos!$J$10:$J$4174, Costos!$L$10:$L$4174, $D$3, Costos!$M$10:$M$4174, $D$4, Costos!$D$10:$D$4174, B63)</f>
        <v>0</v>
      </c>
      <c r="E63" s="2">
        <f>SUMIFS(Costos!$J$10:$J$4174, Costos!$L$10:$L$4174, $E$3, Costos!$M$10:$M$4174, $E$4, Costos!$D$10:$D$4174, B63)</f>
        <v>0</v>
      </c>
      <c r="F63" s="2">
        <f>SUMIFS(Costos!$J$10:$J$4174, Costos!$L$10:$L$4174, $F$3, Costos!$M$10:$M$4174, $F$4, Costos!$D$10:$D$4174, B63)</f>
        <v>0</v>
      </c>
      <c r="G63" s="2">
        <f>SUMIFS(Costos!$J$10:$J$4174, Costos!$L$10:$L$4174, $G$3, Costos!$M$10:$M$4174, $G$4, Costos!$D$10:$D$4174, B63)</f>
        <v>0</v>
      </c>
      <c r="H63" s="2">
        <f>SUMIFS(Costos!$J$10:$J$4174, Costos!$L$10:$L$4174, $H$3, Costos!$M$10:$M$4174, $H$4, Costos!$D$10:$D$4174, B63)</f>
        <v>0</v>
      </c>
      <c r="I63" s="2">
        <f>SUMIFS(Costos!$J$10:$J$4174, Costos!$L$10:$L$4174, $I$3, Costos!$M$10:$M$4174, $I$4, Costos!$D$10:$D$4174, B63)</f>
        <v>0</v>
      </c>
      <c r="J63" s="2">
        <f>SUMIFS(Costos!$J$10:$J$4174, Costos!$L$10:$L$4174, $J$3, Costos!$M$10:$M$4174, $J$4, Costos!$D$10:$D$4174, B63)</f>
        <v>0</v>
      </c>
      <c r="K63" s="2">
        <f>SUMIFS(Costos!$J$10:$J$4174, Costos!$L$10:$L$4174, $K$3, Costos!$M$10:$M$4174, $K$4, Costos!$D$10:$D$4174, B63)</f>
        <v>0</v>
      </c>
      <c r="L63" s="2">
        <f>SUMIFS(Costos!$J$10:$J$4174, Costos!$L$10:$L$4174, $L$3, Costos!$M$10:$M$4174, $L$4, Costos!$D$10:$D$4174, B63)</f>
        <v>0</v>
      </c>
      <c r="M63" s="2">
        <f>SUMIFS(Costos!$J$10:$J$4174, Costos!$L$10:$L$4174, $M$3, Costos!$M$10:$M$4174, $M$4, Costos!$D$10:$D$4174, B63)</f>
        <v>0</v>
      </c>
      <c r="N63" s="2">
        <f>SUMIFS(Costos!$J$10:$J$4174, Costos!$L$10:$L$4174, $N$3, Costos!$M$10:$M$4174, $N$4, Costos!$D$10:$D$4174, B63)</f>
        <v>0</v>
      </c>
      <c r="O63" s="2">
        <f t="shared" si="18"/>
        <v>0</v>
      </c>
    </row>
    <row r="64" spans="2:40">
      <c r="B64" s="2" t="e">
        <f>#REF!</f>
        <v>#REF!</v>
      </c>
      <c r="C64" s="2">
        <f>SUMIFS(Costos!$J$10:$J$4174, Costos!$L$10:$L$4174, $C$3, Costos!$M$10:$M$4174, $C$4, Costos!$D$10:$D$4174, B64)</f>
        <v>0</v>
      </c>
      <c r="D64" s="2">
        <f>SUMIFS(Costos!$J$10:$J$4174, Costos!$L$10:$L$4174, $D$3, Costos!$M$10:$M$4174, $D$4, Costos!$D$10:$D$4174, B64)</f>
        <v>0</v>
      </c>
      <c r="E64" s="2">
        <f>SUMIFS(Costos!$J$10:$J$4174, Costos!$L$10:$L$4174, $E$3, Costos!$M$10:$M$4174, $E$4, Costos!$D$10:$D$4174, B64)</f>
        <v>0</v>
      </c>
      <c r="F64" s="2">
        <f>SUMIFS(Costos!$J$10:$J$4174, Costos!$L$10:$L$4174, $F$3, Costos!$M$10:$M$4174, $F$4, Costos!$D$10:$D$4174, B64)</f>
        <v>0</v>
      </c>
      <c r="G64" s="2">
        <f>SUMIFS(Costos!$J$10:$J$4174, Costos!$L$10:$L$4174, $G$3, Costos!$M$10:$M$4174, $G$4, Costos!$D$10:$D$4174, B64)</f>
        <v>0</v>
      </c>
      <c r="H64" s="2">
        <f>SUMIFS(Costos!$J$10:$J$4174, Costos!$L$10:$L$4174, $H$3, Costos!$M$10:$M$4174, $H$4, Costos!$D$10:$D$4174, B64)</f>
        <v>0</v>
      </c>
      <c r="I64" s="2">
        <f>SUMIFS(Costos!$J$10:$J$4174, Costos!$L$10:$L$4174, $I$3, Costos!$M$10:$M$4174, $I$4, Costos!$D$10:$D$4174, B64)</f>
        <v>0</v>
      </c>
      <c r="J64" s="2">
        <f>SUMIFS(Costos!$J$10:$J$4174, Costos!$L$10:$L$4174, $J$3, Costos!$M$10:$M$4174, $J$4, Costos!$D$10:$D$4174, B64)</f>
        <v>0</v>
      </c>
      <c r="K64" s="2">
        <f>SUMIFS(Costos!$J$10:$J$4174, Costos!$L$10:$L$4174, $K$3, Costos!$M$10:$M$4174, $K$4, Costos!$D$10:$D$4174, B64)</f>
        <v>0</v>
      </c>
      <c r="L64" s="2">
        <f>SUMIFS(Costos!$J$10:$J$4174, Costos!$L$10:$L$4174, $L$3, Costos!$M$10:$M$4174, $L$4, Costos!$D$10:$D$4174, B64)</f>
        <v>0</v>
      </c>
      <c r="M64" s="2">
        <f>SUMIFS(Costos!$J$10:$J$4174, Costos!$L$10:$L$4174, $M$3, Costos!$M$10:$M$4174, $M$4, Costos!$D$10:$D$4174, B64)</f>
        <v>0</v>
      </c>
      <c r="N64" s="2">
        <f>SUMIFS(Costos!$J$10:$J$4174, Costos!$L$10:$L$4174, $N$3, Costos!$M$10:$M$4174, $N$4, Costos!$D$10:$D$4174, B64)</f>
        <v>0</v>
      </c>
      <c r="O64" s="2">
        <f t="shared" si="18"/>
        <v>0</v>
      </c>
    </row>
    <row r="65" spans="2:15">
      <c r="B65" s="2" t="e">
        <f>#REF!</f>
        <v>#REF!</v>
      </c>
      <c r="C65" s="2">
        <f>SUMIFS(Costos!$J$10:$J$4174, Costos!$L$10:$L$4174, $C$3, Costos!$M$10:$M$4174, $C$4, Costos!$D$10:$D$4174, B65)</f>
        <v>0</v>
      </c>
      <c r="D65" s="2">
        <f>SUMIFS(Costos!$J$10:$J$4174, Costos!$L$10:$L$4174, $D$3, Costos!$M$10:$M$4174, $D$4, Costos!$D$10:$D$4174, B65)</f>
        <v>0</v>
      </c>
      <c r="E65" s="2">
        <f>SUMIFS(Costos!$J$10:$J$4174, Costos!$L$10:$L$4174, $E$3, Costos!$M$10:$M$4174, $E$4, Costos!$D$10:$D$4174, B65)</f>
        <v>0</v>
      </c>
      <c r="F65" s="2">
        <f>SUMIFS(Costos!$J$10:$J$4174, Costos!$L$10:$L$4174, $F$3, Costos!$M$10:$M$4174, $F$4, Costos!$D$10:$D$4174, B65)</f>
        <v>0</v>
      </c>
      <c r="G65" s="2">
        <f>SUMIFS(Costos!$J$10:$J$4174, Costos!$L$10:$L$4174, $G$3, Costos!$M$10:$M$4174, $G$4, Costos!$D$10:$D$4174, B65)</f>
        <v>0</v>
      </c>
      <c r="H65" s="2">
        <f>SUMIFS(Costos!$J$10:$J$4174, Costos!$L$10:$L$4174, $H$3, Costos!$M$10:$M$4174, $H$4, Costos!$D$10:$D$4174, B65)</f>
        <v>0</v>
      </c>
      <c r="I65" s="2">
        <f>SUMIFS(Costos!$J$10:$J$4174, Costos!$L$10:$L$4174, $I$3, Costos!$M$10:$M$4174, $I$4, Costos!$D$10:$D$4174, B65)</f>
        <v>0</v>
      </c>
      <c r="J65" s="2">
        <f>SUMIFS(Costos!$J$10:$J$4174, Costos!$L$10:$L$4174, $J$3, Costos!$M$10:$M$4174, $J$4, Costos!$D$10:$D$4174, B65)</f>
        <v>0</v>
      </c>
      <c r="K65" s="2">
        <f>SUMIFS(Costos!$J$10:$J$4174, Costos!$L$10:$L$4174, $K$3, Costos!$M$10:$M$4174, $K$4, Costos!$D$10:$D$4174, B65)</f>
        <v>0</v>
      </c>
      <c r="L65" s="2">
        <f>SUMIFS(Costos!$J$10:$J$4174, Costos!$L$10:$L$4174, $L$3, Costos!$M$10:$M$4174, $L$4, Costos!$D$10:$D$4174, B65)</f>
        <v>0</v>
      </c>
      <c r="M65" s="2">
        <f>SUMIFS(Costos!$J$10:$J$4174, Costos!$L$10:$L$4174, $M$3, Costos!$M$10:$M$4174, $M$4, Costos!$D$10:$D$4174, B65)</f>
        <v>0</v>
      </c>
      <c r="N65" s="2">
        <f>SUMIFS(Costos!$J$10:$J$4174, Costos!$L$10:$L$4174, $N$3, Costos!$M$10:$M$4174, $N$4, Costos!$D$10:$D$4174, B65)</f>
        <v>0</v>
      </c>
      <c r="O65" s="2">
        <f t="shared" si="18"/>
        <v>0</v>
      </c>
    </row>
    <row r="66" spans="2:15">
      <c r="B66" s="2" t="e">
        <f>#REF!</f>
        <v>#REF!</v>
      </c>
      <c r="C66" s="2">
        <f>SUMIFS(Costos!$J$10:$J$4174, Costos!$L$10:$L$4174, $C$3, Costos!$M$10:$M$4174, $C$4, Costos!$D$10:$D$4174, B66)</f>
        <v>0</v>
      </c>
      <c r="D66" s="2">
        <f>SUMIFS(Costos!$J$10:$J$4174, Costos!$L$10:$L$4174, $D$3, Costos!$M$10:$M$4174, $D$4, Costos!$D$10:$D$4174, B66)</f>
        <v>0</v>
      </c>
      <c r="E66" s="2">
        <f>SUMIFS(Costos!$J$10:$J$4174, Costos!$L$10:$L$4174, $E$3, Costos!$M$10:$M$4174, $E$4, Costos!$D$10:$D$4174, B66)</f>
        <v>0</v>
      </c>
      <c r="F66" s="2">
        <f>SUMIFS(Costos!$J$10:$J$4174, Costos!$L$10:$L$4174, $F$3, Costos!$M$10:$M$4174, $F$4, Costos!$D$10:$D$4174, B66)</f>
        <v>0</v>
      </c>
      <c r="G66" s="2">
        <f>SUMIFS(Costos!$J$10:$J$4174, Costos!$L$10:$L$4174, $G$3, Costos!$M$10:$M$4174, $G$4, Costos!$D$10:$D$4174, B66)</f>
        <v>0</v>
      </c>
      <c r="H66" s="2">
        <f>SUMIFS(Costos!$J$10:$J$4174, Costos!$L$10:$L$4174, $H$3, Costos!$M$10:$M$4174, $H$4, Costos!$D$10:$D$4174, B66)</f>
        <v>0</v>
      </c>
      <c r="I66" s="2">
        <f>SUMIFS(Costos!$J$10:$J$4174, Costos!$L$10:$L$4174, $I$3, Costos!$M$10:$M$4174, $I$4, Costos!$D$10:$D$4174, B66)</f>
        <v>0</v>
      </c>
      <c r="J66" s="2">
        <f>SUMIFS(Costos!$J$10:$J$4174, Costos!$L$10:$L$4174, $J$3, Costos!$M$10:$M$4174, $J$4, Costos!$D$10:$D$4174, B66)</f>
        <v>0</v>
      </c>
      <c r="K66" s="2">
        <f>SUMIFS(Costos!$J$10:$J$4174, Costos!$L$10:$L$4174, $K$3, Costos!$M$10:$M$4174, $K$4, Costos!$D$10:$D$4174, B66)</f>
        <v>0</v>
      </c>
      <c r="L66" s="2">
        <f>SUMIFS(Costos!$J$10:$J$4174, Costos!$L$10:$L$4174, $L$3, Costos!$M$10:$M$4174, $L$4, Costos!$D$10:$D$4174, B66)</f>
        <v>0</v>
      </c>
      <c r="M66" s="2">
        <f>SUMIFS(Costos!$J$10:$J$4174, Costos!$L$10:$L$4174, $M$3, Costos!$M$10:$M$4174, $M$4, Costos!$D$10:$D$4174, B66)</f>
        <v>0</v>
      </c>
      <c r="N66" s="2">
        <f>SUMIFS(Costos!$J$10:$J$4174, Costos!$L$10:$L$4174, $N$3, Costos!$M$10:$M$4174, $N$4, Costos!$D$10:$D$4174, B66)</f>
        <v>0</v>
      </c>
      <c r="O66" s="2">
        <f t="shared" si="18"/>
        <v>0</v>
      </c>
    </row>
    <row r="67" spans="2:15">
      <c r="B67" s="2" t="e">
        <f>#REF!</f>
        <v>#REF!</v>
      </c>
      <c r="C67" s="2">
        <f>SUMIFS(Costos!$J$10:$J$4174, Costos!$L$10:$L$4174, $C$3, Costos!$M$10:$M$4174, $C$4, Costos!$D$10:$D$4174, B67)</f>
        <v>0</v>
      </c>
      <c r="D67" s="2">
        <f>SUMIFS(Costos!$J$10:$J$4174, Costos!$L$10:$L$4174, $D$3, Costos!$M$10:$M$4174, $D$4, Costos!$D$10:$D$4174, B67)</f>
        <v>0</v>
      </c>
      <c r="E67" s="2">
        <f>SUMIFS(Costos!$J$10:$J$4174, Costos!$L$10:$L$4174, $E$3, Costos!$M$10:$M$4174, $E$4, Costos!$D$10:$D$4174, B67)</f>
        <v>0</v>
      </c>
      <c r="F67" s="2">
        <f>SUMIFS(Costos!$J$10:$J$4174, Costos!$L$10:$L$4174, $F$3, Costos!$M$10:$M$4174, $F$4, Costos!$D$10:$D$4174, B67)</f>
        <v>0</v>
      </c>
      <c r="G67" s="2">
        <f>SUMIFS(Costos!$J$10:$J$4174, Costos!$L$10:$L$4174, $G$3, Costos!$M$10:$M$4174, $G$4, Costos!$D$10:$D$4174, B67)</f>
        <v>0</v>
      </c>
      <c r="H67" s="2">
        <f>SUMIFS(Costos!$J$10:$J$4174, Costos!$L$10:$L$4174, $H$3, Costos!$M$10:$M$4174, $H$4, Costos!$D$10:$D$4174, B67)</f>
        <v>0</v>
      </c>
      <c r="I67" s="2">
        <f>SUMIFS(Costos!$J$10:$J$4174, Costos!$L$10:$L$4174, $I$3, Costos!$M$10:$M$4174, $I$4, Costos!$D$10:$D$4174, B67)</f>
        <v>0</v>
      </c>
      <c r="J67" s="2">
        <f>SUMIFS(Costos!$J$10:$J$4174, Costos!$L$10:$L$4174, $J$3, Costos!$M$10:$M$4174, $J$4, Costos!$D$10:$D$4174, B67)</f>
        <v>0</v>
      </c>
      <c r="K67" s="2">
        <f>SUMIFS(Costos!$J$10:$J$4174, Costos!$L$10:$L$4174, $K$3, Costos!$M$10:$M$4174, $K$4, Costos!$D$10:$D$4174, B67)</f>
        <v>0</v>
      </c>
      <c r="L67" s="2">
        <f>SUMIFS(Costos!$J$10:$J$4174, Costos!$L$10:$L$4174, $L$3, Costos!$M$10:$M$4174, $L$4, Costos!$D$10:$D$4174, B67)</f>
        <v>0</v>
      </c>
      <c r="M67" s="2">
        <f>SUMIFS(Costos!$J$10:$J$4174, Costos!$L$10:$L$4174, $M$3, Costos!$M$10:$M$4174, $M$4, Costos!$D$10:$D$4174, B67)</f>
        <v>0</v>
      </c>
      <c r="N67" s="2">
        <f>SUMIFS(Costos!$J$10:$J$4174, Costos!$L$10:$L$4174, $N$3, Costos!$M$10:$M$4174, $N$4, Costos!$D$10:$D$4174, B67)</f>
        <v>0</v>
      </c>
      <c r="O67" s="2">
        <f t="shared" si="18"/>
        <v>0</v>
      </c>
    </row>
    <row r="68" spans="2:15">
      <c r="B68" s="2" t="e">
        <f>#REF!</f>
        <v>#REF!</v>
      </c>
      <c r="C68" s="2">
        <f>SUMIFS(Costos!$J$10:$J$4174, Costos!$L$10:$L$4174, $C$3, Costos!$M$10:$M$4174, $C$4, Costos!$D$10:$D$4174, B68)</f>
        <v>0</v>
      </c>
      <c r="D68" s="2">
        <f>SUMIFS(Costos!$J$10:$J$4174, Costos!$L$10:$L$4174, $D$3, Costos!$M$10:$M$4174, $D$4, Costos!$D$10:$D$4174, B68)</f>
        <v>0</v>
      </c>
      <c r="E68" s="2">
        <f>SUMIFS(Costos!$J$10:$J$4174, Costos!$L$10:$L$4174, $E$3, Costos!$M$10:$M$4174, $E$4, Costos!$D$10:$D$4174, B68)</f>
        <v>0</v>
      </c>
      <c r="F68" s="2">
        <f>SUMIFS(Costos!$J$10:$J$4174, Costos!$L$10:$L$4174, $F$3, Costos!$M$10:$M$4174, $F$4, Costos!$D$10:$D$4174, B68)</f>
        <v>0</v>
      </c>
      <c r="G68" s="2">
        <f>SUMIFS(Costos!$J$10:$J$4174, Costos!$L$10:$L$4174, $G$3, Costos!$M$10:$M$4174, $G$4, Costos!$D$10:$D$4174, B68)</f>
        <v>0</v>
      </c>
      <c r="H68" s="2">
        <f>SUMIFS(Costos!$J$10:$J$4174, Costos!$L$10:$L$4174, $H$3, Costos!$M$10:$M$4174, $H$4, Costos!$D$10:$D$4174, B68)</f>
        <v>0</v>
      </c>
      <c r="I68" s="2">
        <f>SUMIFS(Costos!$J$10:$J$4174, Costos!$L$10:$L$4174, $I$3, Costos!$M$10:$M$4174, $I$4, Costos!$D$10:$D$4174, B68)</f>
        <v>0</v>
      </c>
      <c r="J68" s="2">
        <f>SUMIFS(Costos!$J$10:$J$4174, Costos!$L$10:$L$4174, $J$3, Costos!$M$10:$M$4174, $J$4, Costos!$D$10:$D$4174, B68)</f>
        <v>0</v>
      </c>
      <c r="K68" s="2">
        <f>SUMIFS(Costos!$J$10:$J$4174, Costos!$L$10:$L$4174, $K$3, Costos!$M$10:$M$4174, $K$4, Costos!$D$10:$D$4174, B68)</f>
        <v>0</v>
      </c>
      <c r="L68" s="2">
        <f>SUMIFS(Costos!$J$10:$J$4174, Costos!$L$10:$L$4174, $L$3, Costos!$M$10:$M$4174, $L$4, Costos!$D$10:$D$4174, B68)</f>
        <v>0</v>
      </c>
      <c r="M68" s="2">
        <f>SUMIFS(Costos!$J$10:$J$4174, Costos!$L$10:$L$4174, $M$3, Costos!$M$10:$M$4174, $M$4, Costos!$D$10:$D$4174, B68)</f>
        <v>0</v>
      </c>
      <c r="N68" s="2">
        <f>SUMIFS(Costos!$J$10:$J$4174, Costos!$L$10:$L$4174, $N$3, Costos!$M$10:$M$4174, $N$4, Costos!$D$10:$D$4174, B68)</f>
        <v>0</v>
      </c>
      <c r="O68" s="2">
        <f t="shared" si="18"/>
        <v>0</v>
      </c>
    </row>
    <row r="69" spans="2:15">
      <c r="B69" s="2" t="e">
        <f>#REF!</f>
        <v>#REF!</v>
      </c>
      <c r="C69" s="2">
        <f>SUMIFS(Costos!$J$10:$J$4174, Costos!$L$10:$L$4174, $C$3, Costos!$M$10:$M$4174, $C$4, Costos!$D$10:$D$4174, B69)</f>
        <v>0</v>
      </c>
      <c r="D69" s="2">
        <f>SUMIFS(Costos!$J$10:$J$4174, Costos!$L$10:$L$4174, $D$3, Costos!$M$10:$M$4174, $D$4, Costos!$D$10:$D$4174, B69)</f>
        <v>0</v>
      </c>
      <c r="E69" s="2">
        <f>SUMIFS(Costos!$J$10:$J$4174, Costos!$L$10:$L$4174, $E$3, Costos!$M$10:$M$4174, $E$4, Costos!$D$10:$D$4174, B69)</f>
        <v>0</v>
      </c>
      <c r="F69" s="2">
        <f>SUMIFS(Costos!$J$10:$J$4174, Costos!$L$10:$L$4174, $F$3, Costos!$M$10:$M$4174, $F$4, Costos!$D$10:$D$4174, B69)</f>
        <v>0</v>
      </c>
      <c r="G69" s="2">
        <f>SUMIFS(Costos!$J$10:$J$4174, Costos!$L$10:$L$4174, $G$3, Costos!$M$10:$M$4174, $G$4, Costos!$D$10:$D$4174, B69)</f>
        <v>0</v>
      </c>
      <c r="H69" s="2">
        <f>SUMIFS(Costos!$J$10:$J$4174, Costos!$L$10:$L$4174, $H$3, Costos!$M$10:$M$4174, $H$4, Costos!$D$10:$D$4174, B69)</f>
        <v>0</v>
      </c>
      <c r="I69" s="2">
        <f>SUMIFS(Costos!$J$10:$J$4174, Costos!$L$10:$L$4174, $I$3, Costos!$M$10:$M$4174, $I$4, Costos!$D$10:$D$4174, B69)</f>
        <v>0</v>
      </c>
      <c r="J69" s="2">
        <f>SUMIFS(Costos!$J$10:$J$4174, Costos!$L$10:$L$4174, $J$3, Costos!$M$10:$M$4174, $J$4, Costos!$D$10:$D$4174, B69)</f>
        <v>0</v>
      </c>
      <c r="K69" s="2">
        <f>SUMIFS(Costos!$J$10:$J$4174, Costos!$L$10:$L$4174, $K$3, Costos!$M$10:$M$4174, $K$4, Costos!$D$10:$D$4174, B69)</f>
        <v>0</v>
      </c>
      <c r="L69" s="2">
        <f>SUMIFS(Costos!$J$10:$J$4174, Costos!$L$10:$L$4174, $L$3, Costos!$M$10:$M$4174, $L$4, Costos!$D$10:$D$4174, B69)</f>
        <v>0</v>
      </c>
      <c r="M69" s="2">
        <f>SUMIFS(Costos!$J$10:$J$4174, Costos!$L$10:$L$4174, $M$3, Costos!$M$10:$M$4174, $M$4, Costos!$D$10:$D$4174, B69)</f>
        <v>0</v>
      </c>
      <c r="N69" s="2">
        <f>SUMIFS(Costos!$J$10:$J$4174, Costos!$L$10:$L$4174, $N$3, Costos!$M$10:$M$4174, $N$4, Costos!$D$10:$D$4174, B69)</f>
        <v>0</v>
      </c>
      <c r="O69" s="2">
        <f t="shared" si="18"/>
        <v>0</v>
      </c>
    </row>
    <row r="70" spans="2:15">
      <c r="B70" s="2" t="e">
        <f>#REF!</f>
        <v>#REF!</v>
      </c>
      <c r="C70" s="2">
        <f>SUMIFS(Costos!$J$10:$J$4174, Costos!$L$10:$L$4174, $C$3, Costos!$M$10:$M$4174, $C$4, Costos!$D$10:$D$4174, B70)</f>
        <v>0</v>
      </c>
      <c r="D70" s="2">
        <f>SUMIFS(Costos!$J$10:$J$4174, Costos!$L$10:$L$4174, $D$3, Costos!$M$10:$M$4174, $D$4, Costos!$D$10:$D$4174, B70)</f>
        <v>0</v>
      </c>
      <c r="E70" s="2">
        <f>SUMIFS(Costos!$J$10:$J$4174, Costos!$L$10:$L$4174, $E$3, Costos!$M$10:$M$4174, $E$4, Costos!$D$10:$D$4174, B70)</f>
        <v>0</v>
      </c>
      <c r="F70" s="2">
        <f>SUMIFS(Costos!$J$10:$J$4174, Costos!$L$10:$L$4174, $F$3, Costos!$M$10:$M$4174, $F$4, Costos!$D$10:$D$4174, B70)</f>
        <v>0</v>
      </c>
      <c r="G70" s="2">
        <f>SUMIFS(Costos!$J$10:$J$4174, Costos!$L$10:$L$4174, $G$3, Costos!$M$10:$M$4174, $G$4, Costos!$D$10:$D$4174, B70)</f>
        <v>0</v>
      </c>
      <c r="H70" s="2">
        <f>SUMIFS(Costos!$J$10:$J$4174, Costos!$L$10:$L$4174, $H$3, Costos!$M$10:$M$4174, $H$4, Costos!$D$10:$D$4174, B70)</f>
        <v>0</v>
      </c>
      <c r="I70" s="2">
        <f>SUMIFS(Costos!$J$10:$J$4174, Costos!$L$10:$L$4174, $I$3, Costos!$M$10:$M$4174, $I$4, Costos!$D$10:$D$4174, B70)</f>
        <v>0</v>
      </c>
      <c r="J70" s="2">
        <f>SUMIFS(Costos!$J$10:$J$4174, Costos!$L$10:$L$4174, $J$3, Costos!$M$10:$M$4174, $J$4, Costos!$D$10:$D$4174, B70)</f>
        <v>0</v>
      </c>
      <c r="K70" s="2">
        <f>SUMIFS(Costos!$J$10:$J$4174, Costos!$L$10:$L$4174, $K$3, Costos!$M$10:$M$4174, $K$4, Costos!$D$10:$D$4174, B70)</f>
        <v>0</v>
      </c>
      <c r="L70" s="2">
        <f>SUMIFS(Costos!$J$10:$J$4174, Costos!$L$10:$L$4174, $L$3, Costos!$M$10:$M$4174, $L$4, Costos!$D$10:$D$4174, B70)</f>
        <v>0</v>
      </c>
      <c r="M70" s="2">
        <f>SUMIFS(Costos!$J$10:$J$4174, Costos!$L$10:$L$4174, $M$3, Costos!$M$10:$M$4174, $M$4, Costos!$D$10:$D$4174, B70)</f>
        <v>0</v>
      </c>
      <c r="N70" s="2">
        <f>SUMIFS(Costos!$J$10:$J$4174, Costos!$L$10:$L$4174, $N$3, Costos!$M$10:$M$4174, $N$4, Costos!$D$10:$D$4174, B70)</f>
        <v>0</v>
      </c>
      <c r="O70" s="2">
        <f t="shared" si="18"/>
        <v>0</v>
      </c>
    </row>
    <row r="71" spans="2:15">
      <c r="B71" s="2" t="e">
        <f>#REF!</f>
        <v>#REF!</v>
      </c>
      <c r="C71" s="2">
        <f>SUMIFS(Costos!$J$10:$J$4174, Costos!$L$10:$L$4174, $C$3, Costos!$M$10:$M$4174, $C$4, Costos!$D$10:$D$4174, B71)</f>
        <v>0</v>
      </c>
      <c r="D71" s="2">
        <f>SUMIFS(Costos!$J$10:$J$4174, Costos!$L$10:$L$4174, $D$3, Costos!$M$10:$M$4174, $D$4, Costos!$D$10:$D$4174, B71)</f>
        <v>0</v>
      </c>
      <c r="E71" s="2">
        <f>SUMIFS(Costos!$J$10:$J$4174, Costos!$L$10:$L$4174, $E$3, Costos!$M$10:$M$4174, $E$4, Costos!$D$10:$D$4174, B71)</f>
        <v>0</v>
      </c>
      <c r="F71" s="2">
        <f>SUMIFS(Costos!$J$10:$J$4174, Costos!$L$10:$L$4174, $F$3, Costos!$M$10:$M$4174, $F$4, Costos!$D$10:$D$4174, B71)</f>
        <v>0</v>
      </c>
      <c r="G71" s="2">
        <f>SUMIFS(Costos!$J$10:$J$4174, Costos!$L$10:$L$4174, $G$3, Costos!$M$10:$M$4174, $G$4, Costos!$D$10:$D$4174, B71)</f>
        <v>0</v>
      </c>
      <c r="H71" s="2">
        <f>SUMIFS(Costos!$J$10:$J$4174, Costos!$L$10:$L$4174, $H$3, Costos!$M$10:$M$4174, $H$4, Costos!$D$10:$D$4174, B71)</f>
        <v>0</v>
      </c>
      <c r="I71" s="2">
        <f>SUMIFS(Costos!$J$10:$J$4174, Costos!$L$10:$L$4174, $I$3, Costos!$M$10:$M$4174, $I$4, Costos!$D$10:$D$4174, B71)</f>
        <v>0</v>
      </c>
      <c r="J71" s="2">
        <f>SUMIFS(Costos!$J$10:$J$4174, Costos!$L$10:$L$4174, $J$3, Costos!$M$10:$M$4174, $J$4, Costos!$D$10:$D$4174, B71)</f>
        <v>0</v>
      </c>
      <c r="K71" s="2">
        <f>SUMIFS(Costos!$J$10:$J$4174, Costos!$L$10:$L$4174, $K$3, Costos!$M$10:$M$4174, $K$4, Costos!$D$10:$D$4174, B71)</f>
        <v>0</v>
      </c>
      <c r="L71" s="2">
        <f>SUMIFS(Costos!$J$10:$J$4174, Costos!$L$10:$L$4174, $L$3, Costos!$M$10:$M$4174, $L$4, Costos!$D$10:$D$4174, B71)</f>
        <v>0</v>
      </c>
      <c r="M71" s="2">
        <f>SUMIFS(Costos!$J$10:$J$4174, Costos!$L$10:$L$4174, $M$3, Costos!$M$10:$M$4174, $M$4, Costos!$D$10:$D$4174, B71)</f>
        <v>0</v>
      </c>
      <c r="N71" s="2">
        <f>SUMIFS(Costos!$J$10:$J$4174, Costos!$L$10:$L$4174, $N$3, Costos!$M$10:$M$4174, $N$4, Costos!$D$10:$D$4174, B71)</f>
        <v>0</v>
      </c>
      <c r="O71" s="2">
        <f t="shared" si="18"/>
        <v>0</v>
      </c>
    </row>
    <row r="72" spans="2:15">
      <c r="B72" s="2" t="e">
        <f>#REF!</f>
        <v>#REF!</v>
      </c>
      <c r="C72" s="2">
        <f>SUMIFS(Costos!$J$10:$J$4174, Costos!$L$10:$L$4174, $C$3, Costos!$M$10:$M$4174, $C$4, Costos!$D$10:$D$4174, B72)</f>
        <v>0</v>
      </c>
      <c r="D72" s="2">
        <f>SUMIFS(Costos!$J$10:$J$4174, Costos!$L$10:$L$4174, $D$3, Costos!$M$10:$M$4174, $D$4, Costos!$D$10:$D$4174, B72)</f>
        <v>0</v>
      </c>
      <c r="E72" s="2">
        <f>SUMIFS(Costos!$J$10:$J$4174, Costos!$L$10:$L$4174, $E$3, Costos!$M$10:$M$4174, $E$4, Costos!$D$10:$D$4174, B72)</f>
        <v>0</v>
      </c>
      <c r="F72" s="2">
        <f>SUMIFS(Costos!$J$10:$J$4174, Costos!$L$10:$L$4174, $F$3, Costos!$M$10:$M$4174, $F$4, Costos!$D$10:$D$4174, B72)</f>
        <v>0</v>
      </c>
      <c r="G72" s="2">
        <f>SUMIFS(Costos!$J$10:$J$4174, Costos!$L$10:$L$4174, $G$3, Costos!$M$10:$M$4174, $G$4, Costos!$D$10:$D$4174, B72)</f>
        <v>0</v>
      </c>
      <c r="H72" s="2">
        <f>SUMIFS(Costos!$J$10:$J$4174, Costos!$L$10:$L$4174, $H$3, Costos!$M$10:$M$4174, $H$4, Costos!$D$10:$D$4174, B72)</f>
        <v>0</v>
      </c>
      <c r="I72" s="2">
        <f>SUMIFS(Costos!$J$10:$J$4174, Costos!$L$10:$L$4174, $I$3, Costos!$M$10:$M$4174, $I$4, Costos!$D$10:$D$4174, B72)</f>
        <v>0</v>
      </c>
      <c r="J72" s="2">
        <f>SUMIFS(Costos!$J$10:$J$4174, Costos!$L$10:$L$4174, $J$3, Costos!$M$10:$M$4174, $J$4, Costos!$D$10:$D$4174, B72)</f>
        <v>0</v>
      </c>
      <c r="K72" s="2">
        <f>SUMIFS(Costos!$J$10:$J$4174, Costos!$L$10:$L$4174, $K$3, Costos!$M$10:$M$4174, $K$4, Costos!$D$10:$D$4174, B72)</f>
        <v>0</v>
      </c>
      <c r="L72" s="2">
        <f>SUMIFS(Costos!$J$10:$J$4174, Costos!$L$10:$L$4174, $L$3, Costos!$M$10:$M$4174, $L$4, Costos!$D$10:$D$4174, B72)</f>
        <v>0</v>
      </c>
      <c r="M72" s="2">
        <f>SUMIFS(Costos!$J$10:$J$4174, Costos!$L$10:$L$4174, $M$3, Costos!$M$10:$M$4174, $M$4, Costos!$D$10:$D$4174, B72)</f>
        <v>0</v>
      </c>
      <c r="N72" s="2">
        <f>SUMIFS(Costos!$J$10:$J$4174, Costos!$L$10:$L$4174, $N$3, Costos!$M$10:$M$4174, $N$4, Costos!$D$10:$D$4174, B72)</f>
        <v>0</v>
      </c>
      <c r="O72" s="2">
        <f t="shared" si="18"/>
        <v>0</v>
      </c>
    </row>
    <row r="73" spans="2:15">
      <c r="B73" s="2" t="e">
        <f>#REF!</f>
        <v>#REF!</v>
      </c>
      <c r="C73" s="2">
        <f>SUMIFS(Costos!$J$10:$J$4174, Costos!$L$10:$L$4174, $C$3, Costos!$M$10:$M$4174, $C$4, Costos!$D$10:$D$4174, B73)</f>
        <v>0</v>
      </c>
      <c r="D73" s="2">
        <f>SUMIFS(Costos!$J$10:$J$4174, Costos!$L$10:$L$4174, $D$3, Costos!$M$10:$M$4174, $D$4, Costos!$D$10:$D$4174, B73)</f>
        <v>0</v>
      </c>
      <c r="E73" s="2">
        <f>SUMIFS(Costos!$J$10:$J$4174, Costos!$L$10:$L$4174, $E$3, Costos!$M$10:$M$4174, $E$4, Costos!$D$10:$D$4174, B73)</f>
        <v>0</v>
      </c>
      <c r="F73" s="2">
        <f>SUMIFS(Costos!$J$10:$J$4174, Costos!$L$10:$L$4174, $F$3, Costos!$M$10:$M$4174, $F$4, Costos!$D$10:$D$4174, B73)</f>
        <v>0</v>
      </c>
      <c r="G73" s="2">
        <f>SUMIFS(Costos!$J$10:$J$4174, Costos!$L$10:$L$4174, $G$3, Costos!$M$10:$M$4174, $G$4, Costos!$D$10:$D$4174, B73)</f>
        <v>0</v>
      </c>
      <c r="H73" s="2">
        <f>SUMIFS(Costos!$J$10:$J$4174, Costos!$L$10:$L$4174, $H$3, Costos!$M$10:$M$4174, $H$4, Costos!$D$10:$D$4174, B73)</f>
        <v>0</v>
      </c>
      <c r="I73" s="2">
        <f>SUMIFS(Costos!$J$10:$J$4174, Costos!$L$10:$L$4174, $I$3, Costos!$M$10:$M$4174, $I$4, Costos!$D$10:$D$4174, B73)</f>
        <v>0</v>
      </c>
      <c r="J73" s="2">
        <f>SUMIFS(Costos!$J$10:$J$4174, Costos!$L$10:$L$4174, $J$3, Costos!$M$10:$M$4174, $J$4, Costos!$D$10:$D$4174, B73)</f>
        <v>0</v>
      </c>
      <c r="K73" s="2">
        <f>SUMIFS(Costos!$J$10:$J$4174, Costos!$L$10:$L$4174, $K$3, Costos!$M$10:$M$4174, $K$4, Costos!$D$10:$D$4174, B73)</f>
        <v>0</v>
      </c>
      <c r="L73" s="2">
        <f>SUMIFS(Costos!$J$10:$J$4174, Costos!$L$10:$L$4174, $L$3, Costos!$M$10:$M$4174, $L$4, Costos!$D$10:$D$4174, B73)</f>
        <v>0</v>
      </c>
      <c r="M73" s="2">
        <f>SUMIFS(Costos!$J$10:$J$4174, Costos!$L$10:$L$4174, $M$3, Costos!$M$10:$M$4174, $M$4, Costos!$D$10:$D$4174, B73)</f>
        <v>0</v>
      </c>
      <c r="N73" s="2">
        <f>SUMIFS(Costos!$J$10:$J$4174, Costos!$L$10:$L$4174, $N$3, Costos!$M$10:$M$4174, $N$4, Costos!$D$10:$D$4174, B73)</f>
        <v>0</v>
      </c>
      <c r="O73" s="2">
        <f t="shared" si="18"/>
        <v>0</v>
      </c>
    </row>
    <row r="74" spans="2:15">
      <c r="B74" s="2" t="e">
        <f>#REF!</f>
        <v>#REF!</v>
      </c>
      <c r="C74" s="2">
        <f>SUMIFS(Costos!$J$10:$J$4174, Costos!$L$10:$L$4174, $C$3, Costos!$M$10:$M$4174, $C$4, Costos!$D$10:$D$4174, B74)</f>
        <v>0</v>
      </c>
      <c r="D74" s="2">
        <f>SUMIFS(Costos!$J$10:$J$4174, Costos!$L$10:$L$4174, $D$3, Costos!$M$10:$M$4174, $D$4, Costos!$D$10:$D$4174, B74)</f>
        <v>0</v>
      </c>
      <c r="E74" s="2">
        <f>SUMIFS(Costos!$J$10:$J$4174, Costos!$L$10:$L$4174, $E$3, Costos!$M$10:$M$4174, $E$4, Costos!$D$10:$D$4174, B74)</f>
        <v>0</v>
      </c>
      <c r="F74" s="2">
        <f>SUMIFS(Costos!$J$10:$J$4174, Costos!$L$10:$L$4174, $F$3, Costos!$M$10:$M$4174, $F$4, Costos!$D$10:$D$4174, B74)</f>
        <v>0</v>
      </c>
      <c r="G74" s="2">
        <f>SUMIFS(Costos!$J$10:$J$4174, Costos!$L$10:$L$4174, $G$3, Costos!$M$10:$M$4174, $G$4, Costos!$D$10:$D$4174, B74)</f>
        <v>0</v>
      </c>
      <c r="H74" s="2">
        <f>SUMIFS(Costos!$J$10:$J$4174, Costos!$L$10:$L$4174, $H$3, Costos!$M$10:$M$4174, $H$4, Costos!$D$10:$D$4174, B74)</f>
        <v>0</v>
      </c>
      <c r="I74" s="2">
        <f>SUMIFS(Costos!$J$10:$J$4174, Costos!$L$10:$L$4174, $I$3, Costos!$M$10:$M$4174, $I$4, Costos!$D$10:$D$4174, B74)</f>
        <v>0</v>
      </c>
      <c r="J74" s="2">
        <f>SUMIFS(Costos!$J$10:$J$4174, Costos!$L$10:$L$4174, $J$3, Costos!$M$10:$M$4174, $J$4, Costos!$D$10:$D$4174, B74)</f>
        <v>0</v>
      </c>
      <c r="K74" s="2">
        <f>SUMIFS(Costos!$J$10:$J$4174, Costos!$L$10:$L$4174, $K$3, Costos!$M$10:$M$4174, $K$4, Costos!$D$10:$D$4174, B74)</f>
        <v>0</v>
      </c>
      <c r="L74" s="2">
        <f>SUMIFS(Costos!$J$10:$J$4174, Costos!$L$10:$L$4174, $L$3, Costos!$M$10:$M$4174, $L$4, Costos!$D$10:$D$4174, B74)</f>
        <v>0</v>
      </c>
      <c r="M74" s="2">
        <f>SUMIFS(Costos!$J$10:$J$4174, Costos!$L$10:$L$4174, $M$3, Costos!$M$10:$M$4174, $M$4, Costos!$D$10:$D$4174, B74)</f>
        <v>0</v>
      </c>
      <c r="N74" s="2">
        <f>SUMIFS(Costos!$J$10:$J$4174, Costos!$L$10:$L$4174, $N$3, Costos!$M$10:$M$4174, $N$4, Costos!$D$10:$D$4174, B74)</f>
        <v>0</v>
      </c>
      <c r="O74" s="2">
        <f t="shared" si="18"/>
        <v>0</v>
      </c>
    </row>
    <row r="75" spans="2:15">
      <c r="B75" s="2" t="e">
        <f>#REF!</f>
        <v>#REF!</v>
      </c>
      <c r="C75" s="2">
        <f>SUMIFS(Costos!$J$10:$J$4174, Costos!$L$10:$L$4174, $C$3, Costos!$M$10:$M$4174, $C$4, Costos!$D$10:$D$4174, B75)</f>
        <v>0</v>
      </c>
      <c r="D75" s="2">
        <f>SUMIFS(Costos!$J$10:$J$4174, Costos!$L$10:$L$4174, $D$3, Costos!$M$10:$M$4174, $D$4, Costos!$D$10:$D$4174, B75)</f>
        <v>0</v>
      </c>
      <c r="E75" s="2">
        <f>SUMIFS(Costos!$J$10:$J$4174, Costos!$L$10:$L$4174, $E$3, Costos!$M$10:$M$4174, $E$4, Costos!$D$10:$D$4174, B75)</f>
        <v>0</v>
      </c>
      <c r="F75" s="2">
        <f>SUMIFS(Costos!$J$10:$J$4174, Costos!$L$10:$L$4174, $F$3, Costos!$M$10:$M$4174, $F$4, Costos!$D$10:$D$4174, B75)</f>
        <v>0</v>
      </c>
      <c r="G75" s="2">
        <f>SUMIFS(Costos!$J$10:$J$4174, Costos!$L$10:$L$4174, $G$3, Costos!$M$10:$M$4174, $G$4, Costos!$D$10:$D$4174, B75)</f>
        <v>0</v>
      </c>
      <c r="H75" s="2">
        <f>SUMIFS(Costos!$J$10:$J$4174, Costos!$L$10:$L$4174, $H$3, Costos!$M$10:$M$4174, $H$4, Costos!$D$10:$D$4174, B75)</f>
        <v>0</v>
      </c>
      <c r="I75" s="2">
        <f>SUMIFS(Costos!$J$10:$J$4174, Costos!$L$10:$L$4174, $I$3, Costos!$M$10:$M$4174, $I$4, Costos!$D$10:$D$4174, B75)</f>
        <v>0</v>
      </c>
      <c r="J75" s="2">
        <f>SUMIFS(Costos!$J$10:$J$4174, Costos!$L$10:$L$4174, $J$3, Costos!$M$10:$M$4174, $J$4, Costos!$D$10:$D$4174, B75)</f>
        <v>0</v>
      </c>
      <c r="K75" s="2">
        <f>SUMIFS(Costos!$J$10:$J$4174, Costos!$L$10:$L$4174, $K$3, Costos!$M$10:$M$4174, $K$4, Costos!$D$10:$D$4174, B75)</f>
        <v>0</v>
      </c>
      <c r="L75" s="2">
        <f>SUMIFS(Costos!$J$10:$J$4174, Costos!$L$10:$L$4174, $L$3, Costos!$M$10:$M$4174, $L$4, Costos!$D$10:$D$4174, B75)</f>
        <v>0</v>
      </c>
      <c r="M75" s="2">
        <f>SUMIFS(Costos!$J$10:$J$4174, Costos!$L$10:$L$4174, $M$3, Costos!$M$10:$M$4174, $M$4, Costos!$D$10:$D$4174, B75)</f>
        <v>0</v>
      </c>
      <c r="N75" s="2">
        <f>SUMIFS(Costos!$J$10:$J$4174, Costos!$L$10:$L$4174, $N$3, Costos!$M$10:$M$4174, $N$4, Costos!$D$10:$D$4174, B75)</f>
        <v>0</v>
      </c>
      <c r="O75" s="2">
        <f t="shared" si="18"/>
        <v>0</v>
      </c>
    </row>
    <row r="76" spans="2:15">
      <c r="B76" s="2" t="e">
        <f>#REF!</f>
        <v>#REF!</v>
      </c>
      <c r="C76" s="2">
        <f>SUMIFS(Costos!$J$10:$J$4174, Costos!$L$10:$L$4174, $C$3, Costos!$M$10:$M$4174, $C$4, Costos!$D$10:$D$4174, B76)</f>
        <v>0</v>
      </c>
      <c r="D76" s="2">
        <f>SUMIFS(Costos!$J$10:$J$4174, Costos!$L$10:$L$4174, $D$3, Costos!$M$10:$M$4174, $D$4, Costos!$D$10:$D$4174, B76)</f>
        <v>0</v>
      </c>
      <c r="E76" s="2">
        <f>SUMIFS(Costos!$J$10:$J$4174, Costos!$L$10:$L$4174, $E$3, Costos!$M$10:$M$4174, $E$4, Costos!$D$10:$D$4174, B76)</f>
        <v>0</v>
      </c>
      <c r="F76" s="2">
        <f>SUMIFS(Costos!$J$10:$J$4174, Costos!$L$10:$L$4174, $F$3, Costos!$M$10:$M$4174, $F$4, Costos!$D$10:$D$4174, B76)</f>
        <v>0</v>
      </c>
      <c r="G76" s="2">
        <f>SUMIFS(Costos!$J$10:$J$4174, Costos!$L$10:$L$4174, $G$3, Costos!$M$10:$M$4174, $G$4, Costos!$D$10:$D$4174, B76)</f>
        <v>0</v>
      </c>
      <c r="H76" s="2">
        <f>SUMIFS(Costos!$J$10:$J$4174, Costos!$L$10:$L$4174, $H$3, Costos!$M$10:$M$4174, $H$4, Costos!$D$10:$D$4174, B76)</f>
        <v>0</v>
      </c>
      <c r="I76" s="2">
        <f>SUMIFS(Costos!$J$10:$J$4174, Costos!$L$10:$L$4174, $I$3, Costos!$M$10:$M$4174, $I$4, Costos!$D$10:$D$4174, B76)</f>
        <v>0</v>
      </c>
      <c r="J76" s="2">
        <f>SUMIFS(Costos!$J$10:$J$4174, Costos!$L$10:$L$4174, $J$3, Costos!$M$10:$M$4174, $J$4, Costos!$D$10:$D$4174, B76)</f>
        <v>0</v>
      </c>
      <c r="K76" s="2">
        <f>SUMIFS(Costos!$J$10:$J$4174, Costos!$L$10:$L$4174, $K$3, Costos!$M$10:$M$4174, $K$4, Costos!$D$10:$D$4174, B76)</f>
        <v>0</v>
      </c>
      <c r="L76" s="2">
        <f>SUMIFS(Costos!$J$10:$J$4174, Costos!$L$10:$L$4174, $L$3, Costos!$M$10:$M$4174, $L$4, Costos!$D$10:$D$4174, B76)</f>
        <v>0</v>
      </c>
      <c r="M76" s="2">
        <f>SUMIFS(Costos!$J$10:$J$4174, Costos!$L$10:$L$4174, $M$3, Costos!$M$10:$M$4174, $M$4, Costos!$D$10:$D$4174, B76)</f>
        <v>0</v>
      </c>
      <c r="N76" s="2">
        <f>SUMIFS(Costos!$J$10:$J$4174, Costos!$L$10:$L$4174, $N$3, Costos!$M$10:$M$4174, $N$4, Costos!$D$10:$D$4174, B76)</f>
        <v>0</v>
      </c>
      <c r="O76" s="2">
        <f t="shared" si="18"/>
        <v>0</v>
      </c>
    </row>
    <row r="77" spans="2:15">
      <c r="B77" s="2" t="e">
        <f>#REF!</f>
        <v>#REF!</v>
      </c>
      <c r="C77" s="2">
        <f>SUMIFS(Costos!$J$10:$J$4174, Costos!$L$10:$L$4174, $C$3, Costos!$M$10:$M$4174, $C$4, Costos!$D$10:$D$4174, B77)</f>
        <v>0</v>
      </c>
      <c r="D77" s="2">
        <f>SUMIFS(Costos!$J$10:$J$4174, Costos!$L$10:$L$4174, $D$3, Costos!$M$10:$M$4174, $D$4, Costos!$D$10:$D$4174, B77)</f>
        <v>0</v>
      </c>
      <c r="E77" s="2">
        <f>SUMIFS(Costos!$J$10:$J$4174, Costos!$L$10:$L$4174, $E$3, Costos!$M$10:$M$4174, $E$4, Costos!$D$10:$D$4174, B77)</f>
        <v>0</v>
      </c>
      <c r="F77" s="2">
        <f>SUMIFS(Costos!$J$10:$J$4174, Costos!$L$10:$L$4174, $F$3, Costos!$M$10:$M$4174, $F$4, Costos!$D$10:$D$4174, B77)</f>
        <v>0</v>
      </c>
      <c r="G77" s="2">
        <f>SUMIFS(Costos!$J$10:$J$4174, Costos!$L$10:$L$4174, $G$3, Costos!$M$10:$M$4174, $G$4, Costos!$D$10:$D$4174, B77)</f>
        <v>0</v>
      </c>
      <c r="H77" s="2">
        <f>SUMIFS(Costos!$J$10:$J$4174, Costos!$L$10:$L$4174, $H$3, Costos!$M$10:$M$4174, $H$4, Costos!$D$10:$D$4174, B77)</f>
        <v>0</v>
      </c>
      <c r="I77" s="2">
        <f>SUMIFS(Costos!$J$10:$J$4174, Costos!$L$10:$L$4174, $I$3, Costos!$M$10:$M$4174, $I$4, Costos!$D$10:$D$4174, B77)</f>
        <v>0</v>
      </c>
      <c r="J77" s="2">
        <f>SUMIFS(Costos!$J$10:$J$4174, Costos!$L$10:$L$4174, $J$3, Costos!$M$10:$M$4174, $J$4, Costos!$D$10:$D$4174, B77)</f>
        <v>0</v>
      </c>
      <c r="K77" s="2">
        <f>SUMIFS(Costos!$J$10:$J$4174, Costos!$L$10:$L$4174, $K$3, Costos!$M$10:$M$4174, $K$4, Costos!$D$10:$D$4174, B77)</f>
        <v>0</v>
      </c>
      <c r="L77" s="2">
        <f>SUMIFS(Costos!$J$10:$J$4174, Costos!$L$10:$L$4174, $L$3, Costos!$M$10:$M$4174, $L$4, Costos!$D$10:$D$4174, B77)</f>
        <v>0</v>
      </c>
      <c r="M77" s="2">
        <f>SUMIFS(Costos!$J$10:$J$4174, Costos!$L$10:$L$4174, $M$3, Costos!$M$10:$M$4174, $M$4, Costos!$D$10:$D$4174, B77)</f>
        <v>0</v>
      </c>
      <c r="N77" s="2">
        <f>SUMIFS(Costos!$J$10:$J$4174, Costos!$L$10:$L$4174, $N$3, Costos!$M$10:$M$4174, $N$4, Costos!$D$10:$D$4174, B77)</f>
        <v>0</v>
      </c>
      <c r="O77" s="2">
        <f t="shared" si="18"/>
        <v>0</v>
      </c>
    </row>
    <row r="78" spans="2:15">
      <c r="B78" s="2" t="e">
        <f>#REF!</f>
        <v>#REF!</v>
      </c>
      <c r="C78" s="2">
        <f>SUMIFS(Costos!$J$10:$J$4174, Costos!$L$10:$L$4174, $C$3, Costos!$M$10:$M$4174, $C$4, Costos!$D$10:$D$4174, B78)</f>
        <v>0</v>
      </c>
      <c r="D78" s="2">
        <f>SUMIFS(Costos!$J$10:$J$4174, Costos!$L$10:$L$4174, $D$3, Costos!$M$10:$M$4174, $D$4, Costos!$D$10:$D$4174, B78)</f>
        <v>0</v>
      </c>
      <c r="E78" s="2">
        <f>SUMIFS(Costos!$J$10:$J$4174, Costos!$L$10:$L$4174, $E$3, Costos!$M$10:$M$4174, $E$4, Costos!$D$10:$D$4174, B78)</f>
        <v>0</v>
      </c>
      <c r="F78" s="2">
        <f>SUMIFS(Costos!$J$10:$J$4174, Costos!$L$10:$L$4174, $F$3, Costos!$M$10:$M$4174, $F$4, Costos!$D$10:$D$4174, B78)</f>
        <v>0</v>
      </c>
      <c r="G78" s="2">
        <f>SUMIFS(Costos!$J$10:$J$4174, Costos!$L$10:$L$4174, $G$3, Costos!$M$10:$M$4174, $G$4, Costos!$D$10:$D$4174, B78)</f>
        <v>0</v>
      </c>
      <c r="H78" s="2">
        <f>SUMIFS(Costos!$J$10:$J$4174, Costos!$L$10:$L$4174, $H$3, Costos!$M$10:$M$4174, $H$4, Costos!$D$10:$D$4174, B78)</f>
        <v>0</v>
      </c>
      <c r="I78" s="2">
        <f>SUMIFS(Costos!$J$10:$J$4174, Costos!$L$10:$L$4174, $I$3, Costos!$M$10:$M$4174, $I$4, Costos!$D$10:$D$4174, B78)</f>
        <v>0</v>
      </c>
      <c r="J78" s="2">
        <f>SUMIFS(Costos!$J$10:$J$4174, Costos!$L$10:$L$4174, $J$3, Costos!$M$10:$M$4174, $J$4, Costos!$D$10:$D$4174, B78)</f>
        <v>0</v>
      </c>
      <c r="K78" s="2">
        <f>SUMIFS(Costos!$J$10:$J$4174, Costos!$L$10:$L$4174, $K$3, Costos!$M$10:$M$4174, $K$4, Costos!$D$10:$D$4174, B78)</f>
        <v>0</v>
      </c>
      <c r="L78" s="2">
        <f>SUMIFS(Costos!$J$10:$J$4174, Costos!$L$10:$L$4174, $L$3, Costos!$M$10:$M$4174, $L$4, Costos!$D$10:$D$4174, B78)</f>
        <v>0</v>
      </c>
      <c r="M78" s="2">
        <f>SUMIFS(Costos!$J$10:$J$4174, Costos!$L$10:$L$4174, $M$3, Costos!$M$10:$M$4174, $M$4, Costos!$D$10:$D$4174, B78)</f>
        <v>0</v>
      </c>
      <c r="N78" s="2">
        <f>SUMIFS(Costos!$J$10:$J$4174, Costos!$L$10:$L$4174, $N$3, Costos!$M$10:$M$4174, $N$4, Costos!$D$10:$D$4174, B78)</f>
        <v>0</v>
      </c>
      <c r="O78" s="2">
        <f t="shared" si="18"/>
        <v>0</v>
      </c>
    </row>
    <row r="79" spans="2:15">
      <c r="B79" s="2" t="e">
        <f>#REF!</f>
        <v>#REF!</v>
      </c>
      <c r="C79" s="2">
        <f>SUMIFS(Costos!$J$10:$J$4174, Costos!$L$10:$L$4174, $C$3, Costos!$M$10:$M$4174, $C$4, Costos!$D$10:$D$4174, B79)</f>
        <v>0</v>
      </c>
      <c r="D79" s="2">
        <f>SUMIFS(Costos!$J$10:$J$4174, Costos!$L$10:$L$4174, $D$3, Costos!$M$10:$M$4174, $D$4, Costos!$D$10:$D$4174, B79)</f>
        <v>0</v>
      </c>
      <c r="E79" s="2">
        <f>SUMIFS(Costos!$J$10:$J$4174, Costos!$L$10:$L$4174, $E$3, Costos!$M$10:$M$4174, $E$4, Costos!$D$10:$D$4174, B79)</f>
        <v>0</v>
      </c>
      <c r="F79" s="2">
        <f>SUMIFS(Costos!$J$10:$J$4174, Costos!$L$10:$L$4174, $F$3, Costos!$M$10:$M$4174, $F$4, Costos!$D$10:$D$4174, B79)</f>
        <v>0</v>
      </c>
      <c r="G79" s="2">
        <f>SUMIFS(Costos!$J$10:$J$4174, Costos!$L$10:$L$4174, $G$3, Costos!$M$10:$M$4174, $G$4, Costos!$D$10:$D$4174, B79)</f>
        <v>0</v>
      </c>
      <c r="H79" s="2">
        <f>SUMIFS(Costos!$J$10:$J$4174, Costos!$L$10:$L$4174, $H$3, Costos!$M$10:$M$4174, $H$4, Costos!$D$10:$D$4174, B79)</f>
        <v>0</v>
      </c>
      <c r="I79" s="2">
        <f>SUMIFS(Costos!$J$10:$J$4174, Costos!$L$10:$L$4174, $I$3, Costos!$M$10:$M$4174, $I$4, Costos!$D$10:$D$4174, B79)</f>
        <v>0</v>
      </c>
      <c r="J79" s="2">
        <f>SUMIFS(Costos!$J$10:$J$4174, Costos!$L$10:$L$4174, $J$3, Costos!$M$10:$M$4174, $J$4, Costos!$D$10:$D$4174, B79)</f>
        <v>0</v>
      </c>
      <c r="K79" s="2">
        <f>SUMIFS(Costos!$J$10:$J$4174, Costos!$L$10:$L$4174, $K$3, Costos!$M$10:$M$4174, $K$4, Costos!$D$10:$D$4174, B79)</f>
        <v>0</v>
      </c>
      <c r="L79" s="2">
        <f>SUMIFS(Costos!$J$10:$J$4174, Costos!$L$10:$L$4174, $L$3, Costos!$M$10:$M$4174, $L$4, Costos!$D$10:$D$4174, B79)</f>
        <v>0</v>
      </c>
      <c r="M79" s="2">
        <f>SUMIFS(Costos!$J$10:$J$4174, Costos!$L$10:$L$4174, $M$3, Costos!$M$10:$M$4174, $M$4, Costos!$D$10:$D$4174, B79)</f>
        <v>0</v>
      </c>
      <c r="N79" s="2">
        <f>SUMIFS(Costos!$J$10:$J$4174, Costos!$L$10:$L$4174, $N$3, Costos!$M$10:$M$4174, $N$4, Costos!$D$10:$D$4174, B79)</f>
        <v>0</v>
      </c>
      <c r="O79" s="2">
        <f t="shared" si="18"/>
        <v>0</v>
      </c>
    </row>
    <row r="80" spans="2:15">
      <c r="B80" s="2" t="e">
        <f>#REF!</f>
        <v>#REF!</v>
      </c>
      <c r="C80" s="2">
        <f>SUMIFS(Costos!$J$10:$J$4174, Costos!$L$10:$L$4174, $C$3, Costos!$M$10:$M$4174, $C$4, Costos!$D$10:$D$4174, B80)</f>
        <v>0</v>
      </c>
      <c r="D80" s="2">
        <f>SUMIFS(Costos!$J$10:$J$4174, Costos!$L$10:$L$4174, $D$3, Costos!$M$10:$M$4174, $D$4, Costos!$D$10:$D$4174, B80)</f>
        <v>0</v>
      </c>
      <c r="E80" s="2">
        <f>SUMIFS(Costos!$J$10:$J$4174, Costos!$L$10:$L$4174, $E$3, Costos!$M$10:$M$4174, $E$4, Costos!$D$10:$D$4174, B80)</f>
        <v>0</v>
      </c>
      <c r="F80" s="2">
        <f>SUMIFS(Costos!$J$10:$J$4174, Costos!$L$10:$L$4174, $F$3, Costos!$M$10:$M$4174, $F$4, Costos!$D$10:$D$4174, B80)</f>
        <v>0</v>
      </c>
      <c r="G80" s="2">
        <f>SUMIFS(Costos!$J$10:$J$4174, Costos!$L$10:$L$4174, $G$3, Costos!$M$10:$M$4174, $G$4, Costos!$D$10:$D$4174, B80)</f>
        <v>0</v>
      </c>
      <c r="H80" s="2">
        <f>SUMIFS(Costos!$J$10:$J$4174, Costos!$L$10:$L$4174, $H$3, Costos!$M$10:$M$4174, $H$4, Costos!$D$10:$D$4174, B80)</f>
        <v>0</v>
      </c>
      <c r="I80" s="2">
        <f>SUMIFS(Costos!$J$10:$J$4174, Costos!$L$10:$L$4174, $I$3, Costos!$M$10:$M$4174, $I$4, Costos!$D$10:$D$4174, B80)</f>
        <v>0</v>
      </c>
      <c r="J80" s="2">
        <f>SUMIFS(Costos!$J$10:$J$4174, Costos!$L$10:$L$4174, $J$3, Costos!$M$10:$M$4174, $J$4, Costos!$D$10:$D$4174, B80)</f>
        <v>0</v>
      </c>
      <c r="K80" s="2">
        <f>SUMIFS(Costos!$J$10:$J$4174, Costos!$L$10:$L$4174, $K$3, Costos!$M$10:$M$4174, $K$4, Costos!$D$10:$D$4174, B80)</f>
        <v>0</v>
      </c>
      <c r="L80" s="2">
        <f>SUMIFS(Costos!$J$10:$J$4174, Costos!$L$10:$L$4174, $L$3, Costos!$M$10:$M$4174, $L$4, Costos!$D$10:$D$4174, B80)</f>
        <v>0</v>
      </c>
      <c r="M80" s="2">
        <f>SUMIFS(Costos!$J$10:$J$4174, Costos!$L$10:$L$4174, $M$3, Costos!$M$10:$M$4174, $M$4, Costos!$D$10:$D$4174, B80)</f>
        <v>0</v>
      </c>
      <c r="N80" s="2">
        <f>SUMIFS(Costos!$J$10:$J$4174, Costos!$L$10:$L$4174, $N$3, Costos!$M$10:$M$4174, $N$4, Costos!$D$10:$D$4174, B80)</f>
        <v>0</v>
      </c>
      <c r="O80" s="2">
        <f t="shared" si="18"/>
        <v>0</v>
      </c>
    </row>
    <row r="81" spans="2:15">
      <c r="B81" s="2" t="e">
        <f>#REF!</f>
        <v>#REF!</v>
      </c>
      <c r="C81" s="2">
        <f>SUMIFS(Costos!$J$10:$J$4174, Costos!$L$10:$L$4174, $C$3, Costos!$M$10:$M$4174, $C$4, Costos!$D$10:$D$4174, B81)</f>
        <v>0</v>
      </c>
      <c r="D81" s="2">
        <f>SUMIFS(Costos!$J$10:$J$4174, Costos!$L$10:$L$4174, $D$3, Costos!$M$10:$M$4174, $D$4, Costos!$D$10:$D$4174, B81)</f>
        <v>0</v>
      </c>
      <c r="E81" s="2">
        <f>SUMIFS(Costos!$J$10:$J$4174, Costos!$L$10:$L$4174, $E$3, Costos!$M$10:$M$4174, $E$4, Costos!$D$10:$D$4174, B81)</f>
        <v>0</v>
      </c>
      <c r="F81" s="2">
        <f>SUMIFS(Costos!$J$10:$J$4174, Costos!$L$10:$L$4174, $F$3, Costos!$M$10:$M$4174, $F$4, Costos!$D$10:$D$4174, B81)</f>
        <v>0</v>
      </c>
      <c r="G81" s="2">
        <f>SUMIFS(Costos!$J$10:$J$4174, Costos!$L$10:$L$4174, $G$3, Costos!$M$10:$M$4174, $G$4, Costos!$D$10:$D$4174, B81)</f>
        <v>0</v>
      </c>
      <c r="H81" s="2">
        <f>SUMIFS(Costos!$J$10:$J$4174, Costos!$L$10:$L$4174, $H$3, Costos!$M$10:$M$4174, $H$4, Costos!$D$10:$D$4174, B81)</f>
        <v>0</v>
      </c>
      <c r="I81" s="2">
        <f>SUMIFS(Costos!$J$10:$J$4174, Costos!$L$10:$L$4174, $I$3, Costos!$M$10:$M$4174, $I$4, Costos!$D$10:$D$4174, B81)</f>
        <v>0</v>
      </c>
      <c r="J81" s="2">
        <f>SUMIFS(Costos!$J$10:$J$4174, Costos!$L$10:$L$4174, $J$3, Costos!$M$10:$M$4174, $J$4, Costos!$D$10:$D$4174, B81)</f>
        <v>0</v>
      </c>
      <c r="K81" s="2">
        <f>SUMIFS(Costos!$J$10:$J$4174, Costos!$L$10:$L$4174, $K$3, Costos!$M$10:$M$4174, $K$4, Costos!$D$10:$D$4174, B81)</f>
        <v>0</v>
      </c>
      <c r="L81" s="2">
        <f>SUMIFS(Costos!$J$10:$J$4174, Costos!$L$10:$L$4174, $L$3, Costos!$M$10:$M$4174, $L$4, Costos!$D$10:$D$4174, B81)</f>
        <v>0</v>
      </c>
      <c r="M81" s="2">
        <f>SUMIFS(Costos!$J$10:$J$4174, Costos!$L$10:$L$4174, $M$3, Costos!$M$10:$M$4174, $M$4, Costos!$D$10:$D$4174, B81)</f>
        <v>0</v>
      </c>
      <c r="N81" s="2">
        <f>SUMIFS(Costos!$J$10:$J$4174, Costos!$L$10:$L$4174, $N$3, Costos!$M$10:$M$4174, $N$4, Costos!$D$10:$D$4174, B81)</f>
        <v>0</v>
      </c>
      <c r="O81" s="2">
        <f t="shared" si="18"/>
        <v>0</v>
      </c>
    </row>
    <row r="82" spans="2:15">
      <c r="B82" s="2" t="e">
        <f>#REF!</f>
        <v>#REF!</v>
      </c>
      <c r="C82" s="2">
        <f>SUMIFS(Costos!$J$10:$J$4174, Costos!$L$10:$L$4174, $C$3, Costos!$M$10:$M$4174, $C$4, Costos!$D$10:$D$4174, B82)</f>
        <v>0</v>
      </c>
      <c r="D82" s="2">
        <f>SUMIFS(Costos!$J$10:$J$4174, Costos!$L$10:$L$4174, $D$3, Costos!$M$10:$M$4174, $D$4, Costos!$D$10:$D$4174, B82)</f>
        <v>0</v>
      </c>
      <c r="E82" s="2">
        <f>SUMIFS(Costos!$J$10:$J$4174, Costos!$L$10:$L$4174, $E$3, Costos!$M$10:$M$4174, $E$4, Costos!$D$10:$D$4174, B82)</f>
        <v>0</v>
      </c>
      <c r="F82" s="2">
        <f>SUMIFS(Costos!$J$10:$J$4174, Costos!$L$10:$L$4174, $F$3, Costos!$M$10:$M$4174, $F$4, Costos!$D$10:$D$4174, B82)</f>
        <v>0</v>
      </c>
      <c r="G82" s="2">
        <f>SUMIFS(Costos!$J$10:$J$4174, Costos!$L$10:$L$4174, $G$3, Costos!$M$10:$M$4174, $G$4, Costos!$D$10:$D$4174, B82)</f>
        <v>0</v>
      </c>
      <c r="H82" s="2">
        <f>SUMIFS(Costos!$J$10:$J$4174, Costos!$L$10:$L$4174, $H$3, Costos!$M$10:$M$4174, $H$4, Costos!$D$10:$D$4174, B82)</f>
        <v>0</v>
      </c>
      <c r="I82" s="2">
        <f>SUMIFS(Costos!$J$10:$J$4174, Costos!$L$10:$L$4174, $I$3, Costos!$M$10:$M$4174, $I$4, Costos!$D$10:$D$4174, B82)</f>
        <v>0</v>
      </c>
      <c r="J82" s="2">
        <f>SUMIFS(Costos!$J$10:$J$4174, Costos!$L$10:$L$4174, $J$3, Costos!$M$10:$M$4174, $J$4, Costos!$D$10:$D$4174, B82)</f>
        <v>0</v>
      </c>
      <c r="K82" s="2">
        <f>SUMIFS(Costos!$J$10:$J$4174, Costos!$L$10:$L$4174, $K$3, Costos!$M$10:$M$4174, $K$4, Costos!$D$10:$D$4174, B82)</f>
        <v>0</v>
      </c>
      <c r="L82" s="2">
        <f>SUMIFS(Costos!$J$10:$J$4174, Costos!$L$10:$L$4174, $L$3, Costos!$M$10:$M$4174, $L$4, Costos!$D$10:$D$4174, B82)</f>
        <v>0</v>
      </c>
      <c r="M82" s="2">
        <f>SUMIFS(Costos!$J$10:$J$4174, Costos!$L$10:$L$4174, $M$3, Costos!$M$10:$M$4174, $M$4, Costos!$D$10:$D$4174, B82)</f>
        <v>0</v>
      </c>
      <c r="N82" s="2">
        <f>SUMIFS(Costos!$J$10:$J$4174, Costos!$L$10:$L$4174, $N$3, Costos!$M$10:$M$4174, $N$4, Costos!$D$10:$D$4174, B82)</f>
        <v>0</v>
      </c>
      <c r="O82" s="2">
        <f t="shared" si="18"/>
        <v>0</v>
      </c>
    </row>
    <row r="83" spans="2:15">
      <c r="B83" s="2" t="e">
        <f>#REF!</f>
        <v>#REF!</v>
      </c>
      <c r="C83" s="2">
        <f>SUMIFS(Costos!$J$10:$J$4174, Costos!$L$10:$L$4174, $C$3, Costos!$M$10:$M$4174, $C$4, Costos!$D$10:$D$4174, B83)</f>
        <v>0</v>
      </c>
      <c r="D83" s="2">
        <f>SUMIFS(Costos!$J$10:$J$4174, Costos!$L$10:$L$4174, $D$3, Costos!$M$10:$M$4174, $D$4, Costos!$D$10:$D$4174, B83)</f>
        <v>0</v>
      </c>
      <c r="E83" s="2">
        <f>SUMIFS(Costos!$J$10:$J$4174, Costos!$L$10:$L$4174, $E$3, Costos!$M$10:$M$4174, $E$4, Costos!$D$10:$D$4174, B83)</f>
        <v>0</v>
      </c>
      <c r="F83" s="2">
        <f>SUMIFS(Costos!$J$10:$J$4174, Costos!$L$10:$L$4174, $F$3, Costos!$M$10:$M$4174, $F$4, Costos!$D$10:$D$4174, B83)</f>
        <v>0</v>
      </c>
      <c r="G83" s="2">
        <f>SUMIFS(Costos!$J$10:$J$4174, Costos!$L$10:$L$4174, $G$3, Costos!$M$10:$M$4174, $G$4, Costos!$D$10:$D$4174, B83)</f>
        <v>0</v>
      </c>
      <c r="H83" s="2">
        <f>SUMIFS(Costos!$J$10:$J$4174, Costos!$L$10:$L$4174, $H$3, Costos!$M$10:$M$4174, $H$4, Costos!$D$10:$D$4174, B83)</f>
        <v>0</v>
      </c>
      <c r="I83" s="2">
        <f>SUMIFS(Costos!$J$10:$J$4174, Costos!$L$10:$L$4174, $I$3, Costos!$M$10:$M$4174, $I$4, Costos!$D$10:$D$4174, B83)</f>
        <v>0</v>
      </c>
      <c r="J83" s="2">
        <f>SUMIFS(Costos!$J$10:$J$4174, Costos!$L$10:$L$4174, $J$3, Costos!$M$10:$M$4174, $J$4, Costos!$D$10:$D$4174, B83)</f>
        <v>0</v>
      </c>
      <c r="K83" s="2">
        <f>SUMIFS(Costos!$J$10:$J$4174, Costos!$L$10:$L$4174, $K$3, Costos!$M$10:$M$4174, $K$4, Costos!$D$10:$D$4174, B83)</f>
        <v>0</v>
      </c>
      <c r="L83" s="2">
        <f>SUMIFS(Costos!$J$10:$J$4174, Costos!$L$10:$L$4174, $L$3, Costos!$M$10:$M$4174, $L$4, Costos!$D$10:$D$4174, B83)</f>
        <v>0</v>
      </c>
      <c r="M83" s="2">
        <f>SUMIFS(Costos!$J$10:$J$4174, Costos!$L$10:$L$4174, $M$3, Costos!$M$10:$M$4174, $M$4, Costos!$D$10:$D$4174, B83)</f>
        <v>0</v>
      </c>
      <c r="N83" s="2">
        <f>SUMIFS(Costos!$J$10:$J$4174, Costos!$L$10:$L$4174, $N$3, Costos!$M$10:$M$4174, $N$4, Costos!$D$10:$D$4174, B83)</f>
        <v>0</v>
      </c>
      <c r="O83" s="2">
        <f t="shared" si="18"/>
        <v>0</v>
      </c>
    </row>
    <row r="84" spans="2:15">
      <c r="B84" s="2" t="e">
        <f>#REF!</f>
        <v>#REF!</v>
      </c>
      <c r="C84" s="2">
        <f>SUMIFS(Costos!$J$10:$J$4174, Costos!$L$10:$L$4174, $C$3, Costos!$M$10:$M$4174, $C$4, Costos!$D$10:$D$4174, B84)</f>
        <v>0</v>
      </c>
      <c r="D84" s="2">
        <f>SUMIFS(Costos!$J$10:$J$4174, Costos!$L$10:$L$4174, $D$3, Costos!$M$10:$M$4174, $D$4, Costos!$D$10:$D$4174, B84)</f>
        <v>0</v>
      </c>
      <c r="E84" s="2">
        <f>SUMIFS(Costos!$J$10:$J$4174, Costos!$L$10:$L$4174, $E$3, Costos!$M$10:$M$4174, $E$4, Costos!$D$10:$D$4174, B84)</f>
        <v>0</v>
      </c>
      <c r="F84" s="2">
        <f>SUMIFS(Costos!$J$10:$J$4174, Costos!$L$10:$L$4174, $F$3, Costos!$M$10:$M$4174, $F$4, Costos!$D$10:$D$4174, B84)</f>
        <v>0</v>
      </c>
      <c r="G84" s="2">
        <f>SUMIFS(Costos!$J$10:$J$4174, Costos!$L$10:$L$4174, $G$3, Costos!$M$10:$M$4174, $G$4, Costos!$D$10:$D$4174, B84)</f>
        <v>0</v>
      </c>
      <c r="H84" s="2">
        <f>SUMIFS(Costos!$J$10:$J$4174, Costos!$L$10:$L$4174, $H$3, Costos!$M$10:$M$4174, $H$4, Costos!$D$10:$D$4174, B84)</f>
        <v>0</v>
      </c>
      <c r="I84" s="2">
        <f>SUMIFS(Costos!$J$10:$J$4174, Costos!$L$10:$L$4174, $I$3, Costos!$M$10:$M$4174, $I$4, Costos!$D$10:$D$4174, B84)</f>
        <v>0</v>
      </c>
      <c r="J84" s="2">
        <f>SUMIFS(Costos!$J$10:$J$4174, Costos!$L$10:$L$4174, $J$3, Costos!$M$10:$M$4174, $J$4, Costos!$D$10:$D$4174, B84)</f>
        <v>0</v>
      </c>
      <c r="K84" s="2">
        <f>SUMIFS(Costos!$J$10:$J$4174, Costos!$L$10:$L$4174, $K$3, Costos!$M$10:$M$4174, $K$4, Costos!$D$10:$D$4174, B84)</f>
        <v>0</v>
      </c>
      <c r="L84" s="2">
        <f>SUMIFS(Costos!$J$10:$J$4174, Costos!$L$10:$L$4174, $L$3, Costos!$M$10:$M$4174, $L$4, Costos!$D$10:$D$4174, B84)</f>
        <v>0</v>
      </c>
      <c r="M84" s="2">
        <f>SUMIFS(Costos!$J$10:$J$4174, Costos!$L$10:$L$4174, $M$3, Costos!$M$10:$M$4174, $M$4, Costos!$D$10:$D$4174, B84)</f>
        <v>0</v>
      </c>
      <c r="N84" s="2">
        <f>SUMIFS(Costos!$J$10:$J$4174, Costos!$L$10:$L$4174, $N$3, Costos!$M$10:$M$4174, $N$4, Costos!$D$10:$D$4174, B84)</f>
        <v>0</v>
      </c>
      <c r="O84" s="2">
        <f t="shared" si="18"/>
        <v>0</v>
      </c>
    </row>
    <row r="85" spans="2:15">
      <c r="B85" s="2" t="e">
        <f>#REF!</f>
        <v>#REF!</v>
      </c>
      <c r="C85" s="2">
        <f>SUMIFS(Costos!$J$10:$J$4174, Costos!$L$10:$L$4174, $C$3, Costos!$M$10:$M$4174, $C$4, Costos!$D$10:$D$4174, B85)</f>
        <v>0</v>
      </c>
      <c r="D85" s="2">
        <f>SUMIFS(Costos!$J$10:$J$4174, Costos!$L$10:$L$4174, $D$3, Costos!$M$10:$M$4174, $D$4, Costos!$D$10:$D$4174, B85)</f>
        <v>0</v>
      </c>
      <c r="E85" s="2">
        <f>SUMIFS(Costos!$J$10:$J$4174, Costos!$L$10:$L$4174, $E$3, Costos!$M$10:$M$4174, $E$4, Costos!$D$10:$D$4174, B85)</f>
        <v>0</v>
      </c>
      <c r="F85" s="2">
        <f>SUMIFS(Costos!$J$10:$J$4174, Costos!$L$10:$L$4174, $F$3, Costos!$M$10:$M$4174, $F$4, Costos!$D$10:$D$4174, B85)</f>
        <v>0</v>
      </c>
      <c r="G85" s="2">
        <f>SUMIFS(Costos!$J$10:$J$4174, Costos!$L$10:$L$4174, $G$3, Costos!$M$10:$M$4174, $G$4, Costos!$D$10:$D$4174, B85)</f>
        <v>0</v>
      </c>
      <c r="H85" s="2">
        <f>SUMIFS(Costos!$J$10:$J$4174, Costos!$L$10:$L$4174, $H$3, Costos!$M$10:$M$4174, $H$4, Costos!$D$10:$D$4174, B85)</f>
        <v>0</v>
      </c>
      <c r="I85" s="2">
        <f>SUMIFS(Costos!$J$10:$J$4174, Costos!$L$10:$L$4174, $I$3, Costos!$M$10:$M$4174, $I$4, Costos!$D$10:$D$4174, B85)</f>
        <v>0</v>
      </c>
      <c r="J85" s="2">
        <f>SUMIFS(Costos!$J$10:$J$4174, Costos!$L$10:$L$4174, $J$3, Costos!$M$10:$M$4174, $J$4, Costos!$D$10:$D$4174, B85)</f>
        <v>0</v>
      </c>
      <c r="K85" s="2">
        <f>SUMIFS(Costos!$J$10:$J$4174, Costos!$L$10:$L$4174, $K$3, Costos!$M$10:$M$4174, $K$4, Costos!$D$10:$D$4174, B85)</f>
        <v>0</v>
      </c>
      <c r="L85" s="2">
        <f>SUMIFS(Costos!$J$10:$J$4174, Costos!$L$10:$L$4174, $L$3, Costos!$M$10:$M$4174, $L$4, Costos!$D$10:$D$4174, B85)</f>
        <v>0</v>
      </c>
      <c r="M85" s="2">
        <f>SUMIFS(Costos!$J$10:$J$4174, Costos!$L$10:$L$4174, $M$3, Costos!$M$10:$M$4174, $M$4, Costos!$D$10:$D$4174, B85)</f>
        <v>0</v>
      </c>
      <c r="N85" s="2">
        <f>SUMIFS(Costos!$J$10:$J$4174, Costos!$L$10:$L$4174, $N$3, Costos!$M$10:$M$4174, $N$4, Costos!$D$10:$D$4174, B85)</f>
        <v>0</v>
      </c>
      <c r="O85" s="2">
        <f t="shared" si="18"/>
        <v>0</v>
      </c>
    </row>
    <row r="86" spans="2:15">
      <c r="B86" s="2" t="e">
        <f>#REF!</f>
        <v>#REF!</v>
      </c>
      <c r="C86" s="2">
        <f>SUMIFS(Costos!$J$10:$J$4174, Costos!$L$10:$L$4174, $C$3, Costos!$M$10:$M$4174, $C$4, Costos!$D$10:$D$4174, B86)</f>
        <v>0</v>
      </c>
      <c r="D86" s="2">
        <f>SUMIFS(Costos!$J$10:$J$4174, Costos!$L$10:$L$4174, $D$3, Costos!$M$10:$M$4174, $D$4, Costos!$D$10:$D$4174, B86)</f>
        <v>0</v>
      </c>
      <c r="E86" s="2">
        <f>SUMIFS(Costos!$J$10:$J$4174, Costos!$L$10:$L$4174, $E$3, Costos!$M$10:$M$4174, $E$4, Costos!$D$10:$D$4174, B86)</f>
        <v>0</v>
      </c>
      <c r="F86" s="2">
        <f>SUMIFS(Costos!$J$10:$J$4174, Costos!$L$10:$L$4174, $F$3, Costos!$M$10:$M$4174, $F$4, Costos!$D$10:$D$4174, B86)</f>
        <v>0</v>
      </c>
      <c r="G86" s="2">
        <f>SUMIFS(Costos!$J$10:$J$4174, Costos!$L$10:$L$4174, $G$3, Costos!$M$10:$M$4174, $G$4, Costos!$D$10:$D$4174, B86)</f>
        <v>0</v>
      </c>
      <c r="H86" s="2">
        <f>SUMIFS(Costos!$J$10:$J$4174, Costos!$L$10:$L$4174, $H$3, Costos!$M$10:$M$4174, $H$4, Costos!$D$10:$D$4174, B86)</f>
        <v>0</v>
      </c>
      <c r="I86" s="2">
        <f>SUMIFS(Costos!$J$10:$J$4174, Costos!$L$10:$L$4174, $I$3, Costos!$M$10:$M$4174, $I$4, Costos!$D$10:$D$4174, B86)</f>
        <v>0</v>
      </c>
      <c r="J86" s="2">
        <f>SUMIFS(Costos!$J$10:$J$4174, Costos!$L$10:$L$4174, $J$3, Costos!$M$10:$M$4174, $J$4, Costos!$D$10:$D$4174, B86)</f>
        <v>0</v>
      </c>
      <c r="K86" s="2">
        <f>SUMIFS(Costos!$J$10:$J$4174, Costos!$L$10:$L$4174, $K$3, Costos!$M$10:$M$4174, $K$4, Costos!$D$10:$D$4174, B86)</f>
        <v>0</v>
      </c>
      <c r="L86" s="2">
        <f>SUMIFS(Costos!$J$10:$J$4174, Costos!$L$10:$L$4174, $L$3, Costos!$M$10:$M$4174, $L$4, Costos!$D$10:$D$4174, B86)</f>
        <v>0</v>
      </c>
      <c r="M86" s="2">
        <f>SUMIFS(Costos!$J$10:$J$4174, Costos!$L$10:$L$4174, $M$3, Costos!$M$10:$M$4174, $M$4, Costos!$D$10:$D$4174, B86)</f>
        <v>0</v>
      </c>
      <c r="N86" s="2">
        <f>SUMIFS(Costos!$J$10:$J$4174, Costos!$L$10:$L$4174, $N$3, Costos!$M$10:$M$4174, $N$4, Costos!$D$10:$D$4174, B86)</f>
        <v>0</v>
      </c>
      <c r="O86" s="2">
        <f t="shared" si="18"/>
        <v>0</v>
      </c>
    </row>
    <row r="87" spans="2:15">
      <c r="B87" s="2" t="e">
        <f>#REF!</f>
        <v>#REF!</v>
      </c>
      <c r="C87" s="2">
        <f>SUMIFS(Costos!$J$10:$J$4174, Costos!$L$10:$L$4174, $C$3, Costos!$M$10:$M$4174, $C$4, Costos!$D$10:$D$4174, B87)</f>
        <v>0</v>
      </c>
      <c r="D87" s="2">
        <f>SUMIFS(Costos!$J$10:$J$4174, Costos!$L$10:$L$4174, $D$3, Costos!$M$10:$M$4174, $D$4, Costos!$D$10:$D$4174, B87)</f>
        <v>0</v>
      </c>
      <c r="E87" s="2">
        <f>SUMIFS(Costos!$J$10:$J$4174, Costos!$L$10:$L$4174, $E$3, Costos!$M$10:$M$4174, $E$4, Costos!$D$10:$D$4174, B87)</f>
        <v>0</v>
      </c>
      <c r="F87" s="2">
        <f>SUMIFS(Costos!$J$10:$J$4174, Costos!$L$10:$L$4174, $F$3, Costos!$M$10:$M$4174, $F$4, Costos!$D$10:$D$4174, B87)</f>
        <v>0</v>
      </c>
      <c r="G87" s="2">
        <f>SUMIFS(Costos!$J$10:$J$4174, Costos!$L$10:$L$4174, $G$3, Costos!$M$10:$M$4174, $G$4, Costos!$D$10:$D$4174, B87)</f>
        <v>0</v>
      </c>
      <c r="H87" s="2">
        <f>SUMIFS(Costos!$J$10:$J$4174, Costos!$L$10:$L$4174, $H$3, Costos!$M$10:$M$4174, $H$4, Costos!$D$10:$D$4174, B87)</f>
        <v>0</v>
      </c>
      <c r="I87" s="2">
        <f>SUMIFS(Costos!$J$10:$J$4174, Costos!$L$10:$L$4174, $I$3, Costos!$M$10:$M$4174, $I$4, Costos!$D$10:$D$4174, B87)</f>
        <v>0</v>
      </c>
      <c r="J87" s="2">
        <f>SUMIFS(Costos!$J$10:$J$4174, Costos!$L$10:$L$4174, $J$3, Costos!$M$10:$M$4174, $J$4, Costos!$D$10:$D$4174, B87)</f>
        <v>0</v>
      </c>
      <c r="K87" s="2">
        <f>SUMIFS(Costos!$J$10:$J$4174, Costos!$L$10:$L$4174, $K$3, Costos!$M$10:$M$4174, $K$4, Costos!$D$10:$D$4174, B87)</f>
        <v>0</v>
      </c>
      <c r="L87" s="2">
        <f>SUMIFS(Costos!$J$10:$J$4174, Costos!$L$10:$L$4174, $L$3, Costos!$M$10:$M$4174, $L$4, Costos!$D$10:$D$4174, B87)</f>
        <v>0</v>
      </c>
      <c r="M87" s="2">
        <f>SUMIFS(Costos!$J$10:$J$4174, Costos!$L$10:$L$4174, $M$3, Costos!$M$10:$M$4174, $M$4, Costos!$D$10:$D$4174, B87)</f>
        <v>0</v>
      </c>
      <c r="N87" s="2">
        <f>SUMIFS(Costos!$J$10:$J$4174, Costos!$L$10:$L$4174, $N$3, Costos!$M$10:$M$4174, $N$4, Costos!$D$10:$D$4174, B87)</f>
        <v>0</v>
      </c>
      <c r="O87" s="2">
        <f t="shared" si="18"/>
        <v>0</v>
      </c>
    </row>
    <row r="88" spans="2:15">
      <c r="B88" s="2" t="e">
        <f>#REF!</f>
        <v>#REF!</v>
      </c>
      <c r="C88" s="2">
        <f>SUMIFS(Costos!$J$10:$J$4174, Costos!$L$10:$L$4174, $C$3, Costos!$M$10:$M$4174, $C$4, Costos!$D$10:$D$4174, B88)</f>
        <v>0</v>
      </c>
      <c r="D88" s="2">
        <f>SUMIFS(Costos!$J$10:$J$4174, Costos!$L$10:$L$4174, $D$3, Costos!$M$10:$M$4174, $D$4, Costos!$D$10:$D$4174, B88)</f>
        <v>0</v>
      </c>
      <c r="E88" s="2">
        <f>SUMIFS(Costos!$J$10:$J$4174, Costos!$L$10:$L$4174, $E$3, Costos!$M$10:$M$4174, $E$4, Costos!$D$10:$D$4174, B88)</f>
        <v>0</v>
      </c>
      <c r="F88" s="2">
        <f>SUMIFS(Costos!$J$10:$J$4174, Costos!$L$10:$L$4174, $F$3, Costos!$M$10:$M$4174, $F$4, Costos!$D$10:$D$4174, B88)</f>
        <v>0</v>
      </c>
      <c r="G88" s="2">
        <f>SUMIFS(Costos!$J$10:$J$4174, Costos!$L$10:$L$4174, $G$3, Costos!$M$10:$M$4174, $G$4, Costos!$D$10:$D$4174, B88)</f>
        <v>0</v>
      </c>
      <c r="H88" s="2">
        <f>SUMIFS(Costos!$J$10:$J$4174, Costos!$L$10:$L$4174, $H$3, Costos!$M$10:$M$4174, $H$4, Costos!$D$10:$D$4174, B88)</f>
        <v>0</v>
      </c>
      <c r="I88" s="2">
        <f>SUMIFS(Costos!$J$10:$J$4174, Costos!$L$10:$L$4174, $I$3, Costos!$M$10:$M$4174, $I$4, Costos!$D$10:$D$4174, B88)</f>
        <v>0</v>
      </c>
      <c r="J88" s="2">
        <f>SUMIFS(Costos!$J$10:$J$4174, Costos!$L$10:$L$4174, $J$3, Costos!$M$10:$M$4174, $J$4, Costos!$D$10:$D$4174, B88)</f>
        <v>0</v>
      </c>
      <c r="K88" s="2">
        <f>SUMIFS(Costos!$J$10:$J$4174, Costos!$L$10:$L$4174, $K$3, Costos!$M$10:$M$4174, $K$4, Costos!$D$10:$D$4174, B88)</f>
        <v>0</v>
      </c>
      <c r="L88" s="2">
        <f>SUMIFS(Costos!$J$10:$J$4174, Costos!$L$10:$L$4174, $L$3, Costos!$M$10:$M$4174, $L$4, Costos!$D$10:$D$4174, B88)</f>
        <v>0</v>
      </c>
      <c r="M88" s="2">
        <f>SUMIFS(Costos!$J$10:$J$4174, Costos!$L$10:$L$4174, $M$3, Costos!$M$10:$M$4174, $M$4, Costos!$D$10:$D$4174, B88)</f>
        <v>0</v>
      </c>
      <c r="N88" s="2">
        <f>SUMIFS(Costos!$J$10:$J$4174, Costos!$L$10:$L$4174, $N$3, Costos!$M$10:$M$4174, $N$4, Costos!$D$10:$D$4174, B88)</f>
        <v>0</v>
      </c>
      <c r="O88" s="2">
        <f t="shared" si="18"/>
        <v>0</v>
      </c>
    </row>
    <row r="89" spans="2:15">
      <c r="B89" s="2" t="e">
        <f>#REF!</f>
        <v>#REF!</v>
      </c>
      <c r="C89" s="2">
        <f>SUMIFS(Costos!$J$10:$J$4174, Costos!$L$10:$L$4174, $C$3, Costos!$M$10:$M$4174, $C$4, Costos!$D$10:$D$4174, B89)</f>
        <v>0</v>
      </c>
      <c r="D89" s="2">
        <f>SUMIFS(Costos!$J$10:$J$4174, Costos!$L$10:$L$4174, $D$3, Costos!$M$10:$M$4174, $D$4, Costos!$D$10:$D$4174, B89)</f>
        <v>0</v>
      </c>
      <c r="E89" s="2">
        <f>SUMIFS(Costos!$J$10:$J$4174, Costos!$L$10:$L$4174, $E$3, Costos!$M$10:$M$4174, $E$4, Costos!$D$10:$D$4174, B89)</f>
        <v>0</v>
      </c>
      <c r="F89" s="2">
        <f>SUMIFS(Costos!$J$10:$J$4174, Costos!$L$10:$L$4174, $F$3, Costos!$M$10:$M$4174, $F$4, Costos!$D$10:$D$4174, B89)</f>
        <v>0</v>
      </c>
      <c r="G89" s="2">
        <f>SUMIFS(Costos!$J$10:$J$4174, Costos!$L$10:$L$4174, $G$3, Costos!$M$10:$M$4174, $G$4, Costos!$D$10:$D$4174, B89)</f>
        <v>0</v>
      </c>
      <c r="H89" s="2">
        <f>SUMIFS(Costos!$J$10:$J$4174, Costos!$L$10:$L$4174, $H$3, Costos!$M$10:$M$4174, $H$4, Costos!$D$10:$D$4174, B89)</f>
        <v>0</v>
      </c>
      <c r="I89" s="2">
        <f>SUMIFS(Costos!$J$10:$J$4174, Costos!$L$10:$L$4174, $I$3, Costos!$M$10:$M$4174, $I$4, Costos!$D$10:$D$4174, B89)</f>
        <v>0</v>
      </c>
      <c r="J89" s="2">
        <f>SUMIFS(Costos!$J$10:$J$4174, Costos!$L$10:$L$4174, $J$3, Costos!$M$10:$M$4174, $J$4, Costos!$D$10:$D$4174, B89)</f>
        <v>0</v>
      </c>
      <c r="K89" s="2">
        <f>SUMIFS(Costos!$J$10:$J$4174, Costos!$L$10:$L$4174, $K$3, Costos!$M$10:$M$4174, $K$4, Costos!$D$10:$D$4174, B89)</f>
        <v>0</v>
      </c>
      <c r="L89" s="2">
        <f>SUMIFS(Costos!$J$10:$J$4174, Costos!$L$10:$L$4174, $L$3, Costos!$M$10:$M$4174, $L$4, Costos!$D$10:$D$4174, B89)</f>
        <v>0</v>
      </c>
      <c r="M89" s="2">
        <f>SUMIFS(Costos!$J$10:$J$4174, Costos!$L$10:$L$4174, $M$3, Costos!$M$10:$M$4174, $M$4, Costos!$D$10:$D$4174, B89)</f>
        <v>0</v>
      </c>
      <c r="N89" s="2">
        <f>SUMIFS(Costos!$J$10:$J$4174, Costos!$L$10:$L$4174, $N$3, Costos!$M$10:$M$4174, $N$4, Costos!$D$10:$D$4174, B89)</f>
        <v>0</v>
      </c>
      <c r="O89" s="2">
        <f t="shared" si="18"/>
        <v>0</v>
      </c>
    </row>
    <row r="90" spans="2:15">
      <c r="B90" s="2" t="e">
        <f>#REF!</f>
        <v>#REF!</v>
      </c>
      <c r="C90" s="2">
        <f>SUMIFS(Costos!$J$10:$J$4174, Costos!$L$10:$L$4174, $C$3, Costos!$M$10:$M$4174, $C$4, Costos!$D$10:$D$4174, B90)</f>
        <v>0</v>
      </c>
      <c r="D90" s="2">
        <f>SUMIFS(Costos!$J$10:$J$4174, Costos!$L$10:$L$4174, $D$3, Costos!$M$10:$M$4174, $D$4, Costos!$D$10:$D$4174, B90)</f>
        <v>0</v>
      </c>
      <c r="E90" s="2">
        <f>SUMIFS(Costos!$J$10:$J$4174, Costos!$L$10:$L$4174, $E$3, Costos!$M$10:$M$4174, $E$4, Costos!$D$10:$D$4174, B90)</f>
        <v>0</v>
      </c>
      <c r="F90" s="2">
        <f>SUMIFS(Costos!$J$10:$J$4174, Costos!$L$10:$L$4174, $F$3, Costos!$M$10:$M$4174, $F$4, Costos!$D$10:$D$4174, B90)</f>
        <v>0</v>
      </c>
      <c r="G90" s="2">
        <f>SUMIFS(Costos!$J$10:$J$4174, Costos!$L$10:$L$4174, $G$3, Costos!$M$10:$M$4174, $G$4, Costos!$D$10:$D$4174, B90)</f>
        <v>0</v>
      </c>
      <c r="H90" s="2">
        <f>SUMIFS(Costos!$J$10:$J$4174, Costos!$L$10:$L$4174, $H$3, Costos!$M$10:$M$4174, $H$4, Costos!$D$10:$D$4174, B90)</f>
        <v>0</v>
      </c>
      <c r="I90" s="2">
        <f>SUMIFS(Costos!$J$10:$J$4174, Costos!$L$10:$L$4174, $I$3, Costos!$M$10:$M$4174, $I$4, Costos!$D$10:$D$4174, B90)</f>
        <v>0</v>
      </c>
      <c r="J90" s="2">
        <f>SUMIFS(Costos!$J$10:$J$4174, Costos!$L$10:$L$4174, $J$3, Costos!$M$10:$M$4174, $J$4, Costos!$D$10:$D$4174, B90)</f>
        <v>0</v>
      </c>
      <c r="K90" s="2">
        <f>SUMIFS(Costos!$J$10:$J$4174, Costos!$L$10:$L$4174, $K$3, Costos!$M$10:$M$4174, $K$4, Costos!$D$10:$D$4174, B90)</f>
        <v>0</v>
      </c>
      <c r="L90" s="2">
        <f>SUMIFS(Costos!$J$10:$J$4174, Costos!$L$10:$L$4174, $L$3, Costos!$M$10:$M$4174, $L$4, Costos!$D$10:$D$4174, B90)</f>
        <v>0</v>
      </c>
      <c r="M90" s="2">
        <f>SUMIFS(Costos!$J$10:$J$4174, Costos!$L$10:$L$4174, $M$3, Costos!$M$10:$M$4174, $M$4, Costos!$D$10:$D$4174, B90)</f>
        <v>0</v>
      </c>
      <c r="N90" s="2">
        <f>SUMIFS(Costos!$J$10:$J$4174, Costos!$L$10:$L$4174, $N$3, Costos!$M$10:$M$4174, $N$4, Costos!$D$10:$D$4174, B90)</f>
        <v>0</v>
      </c>
      <c r="O90" s="2">
        <f t="shared" si="18"/>
        <v>0</v>
      </c>
    </row>
    <row r="91" spans="2:15">
      <c r="B91" s="2" t="e">
        <f>#REF!</f>
        <v>#REF!</v>
      </c>
      <c r="C91" s="2">
        <f>SUMIFS(Costos!$J$10:$J$4174, Costos!$L$10:$L$4174, $C$3, Costos!$M$10:$M$4174, $C$4, Costos!$D$10:$D$4174, B91)</f>
        <v>0</v>
      </c>
      <c r="D91" s="2">
        <f>SUMIFS(Costos!$J$10:$J$4174, Costos!$L$10:$L$4174, $D$3, Costos!$M$10:$M$4174, $D$4, Costos!$D$10:$D$4174, B91)</f>
        <v>0</v>
      </c>
      <c r="E91" s="2">
        <f>SUMIFS(Costos!$J$10:$J$4174, Costos!$L$10:$L$4174, $E$3, Costos!$M$10:$M$4174, $E$4, Costos!$D$10:$D$4174, B91)</f>
        <v>0</v>
      </c>
      <c r="F91" s="2">
        <f>SUMIFS(Costos!$J$10:$J$4174, Costos!$L$10:$L$4174, $F$3, Costos!$M$10:$M$4174, $F$4, Costos!$D$10:$D$4174, B91)</f>
        <v>0</v>
      </c>
      <c r="G91" s="2">
        <f>SUMIFS(Costos!$J$10:$J$4174, Costos!$L$10:$L$4174, $G$3, Costos!$M$10:$M$4174, $G$4, Costos!$D$10:$D$4174, B91)</f>
        <v>0</v>
      </c>
      <c r="H91" s="2">
        <f>SUMIFS(Costos!$J$10:$J$4174, Costos!$L$10:$L$4174, $H$3, Costos!$M$10:$M$4174, $H$4, Costos!$D$10:$D$4174, B91)</f>
        <v>0</v>
      </c>
      <c r="I91" s="2">
        <f>SUMIFS(Costos!$J$10:$J$4174, Costos!$L$10:$L$4174, $I$3, Costos!$M$10:$M$4174, $I$4, Costos!$D$10:$D$4174, B91)</f>
        <v>0</v>
      </c>
      <c r="J91" s="2">
        <f>SUMIFS(Costos!$J$10:$J$4174, Costos!$L$10:$L$4174, $J$3, Costos!$M$10:$M$4174, $J$4, Costos!$D$10:$D$4174, B91)</f>
        <v>0</v>
      </c>
      <c r="K91" s="2">
        <f>SUMIFS(Costos!$J$10:$J$4174, Costos!$L$10:$L$4174, $K$3, Costos!$M$10:$M$4174, $K$4, Costos!$D$10:$D$4174, B91)</f>
        <v>0</v>
      </c>
      <c r="L91" s="2">
        <f>SUMIFS(Costos!$J$10:$J$4174, Costos!$L$10:$L$4174, $L$3, Costos!$M$10:$M$4174, $L$4, Costos!$D$10:$D$4174, B91)</f>
        <v>0</v>
      </c>
      <c r="M91" s="2">
        <f>SUMIFS(Costos!$J$10:$J$4174, Costos!$L$10:$L$4174, $M$3, Costos!$M$10:$M$4174, $M$4, Costos!$D$10:$D$4174, B91)</f>
        <v>0</v>
      </c>
      <c r="N91" s="2">
        <f>SUMIFS(Costos!$J$10:$J$4174, Costos!$L$10:$L$4174, $N$3, Costos!$M$10:$M$4174, $N$4, Costos!$D$10:$D$4174, B91)</f>
        <v>0</v>
      </c>
      <c r="O91" s="2">
        <f t="shared" si="18"/>
        <v>0</v>
      </c>
    </row>
    <row r="92" spans="2:15">
      <c r="B92" s="2" t="e">
        <f>#REF!</f>
        <v>#REF!</v>
      </c>
      <c r="C92" s="2">
        <f>SUMIFS(Costos!$J$10:$J$4174, Costos!$L$10:$L$4174, $C$3, Costos!$M$10:$M$4174, $C$4, Costos!$D$10:$D$4174, B92)</f>
        <v>0</v>
      </c>
      <c r="D92" s="2">
        <f>SUMIFS(Costos!$J$10:$J$4174, Costos!$L$10:$L$4174, $D$3, Costos!$M$10:$M$4174, $D$4, Costos!$D$10:$D$4174, B92)</f>
        <v>0</v>
      </c>
      <c r="E92" s="2">
        <f>SUMIFS(Costos!$J$10:$J$4174, Costos!$L$10:$L$4174, $E$3, Costos!$M$10:$M$4174, $E$4, Costos!$D$10:$D$4174, B92)</f>
        <v>0</v>
      </c>
      <c r="F92" s="2">
        <f>SUMIFS(Costos!$J$10:$J$4174, Costos!$L$10:$L$4174, $F$3, Costos!$M$10:$M$4174, $F$4, Costos!$D$10:$D$4174, B92)</f>
        <v>0</v>
      </c>
      <c r="G92" s="2">
        <f>SUMIFS(Costos!$J$10:$J$4174, Costos!$L$10:$L$4174, $G$3, Costos!$M$10:$M$4174, $G$4, Costos!$D$10:$D$4174, B92)</f>
        <v>0</v>
      </c>
      <c r="H92" s="2">
        <f>SUMIFS(Costos!$J$10:$J$4174, Costos!$L$10:$L$4174, $H$3, Costos!$M$10:$M$4174, $H$4, Costos!$D$10:$D$4174, B92)</f>
        <v>0</v>
      </c>
      <c r="I92" s="2">
        <f>SUMIFS(Costos!$J$10:$J$4174, Costos!$L$10:$L$4174, $I$3, Costos!$M$10:$M$4174, $I$4, Costos!$D$10:$D$4174, B92)</f>
        <v>0</v>
      </c>
      <c r="J92" s="2">
        <f>SUMIFS(Costos!$J$10:$J$4174, Costos!$L$10:$L$4174, $J$3, Costos!$M$10:$M$4174, $J$4, Costos!$D$10:$D$4174, B92)</f>
        <v>0</v>
      </c>
      <c r="K92" s="2">
        <f>SUMIFS(Costos!$J$10:$J$4174, Costos!$L$10:$L$4174, $K$3, Costos!$M$10:$M$4174, $K$4, Costos!$D$10:$D$4174, B92)</f>
        <v>0</v>
      </c>
      <c r="L92" s="2">
        <f>SUMIFS(Costos!$J$10:$J$4174, Costos!$L$10:$L$4174, $L$3, Costos!$M$10:$M$4174, $L$4, Costos!$D$10:$D$4174, B92)</f>
        <v>0</v>
      </c>
      <c r="M92" s="2">
        <f>SUMIFS(Costos!$J$10:$J$4174, Costos!$L$10:$L$4174, $M$3, Costos!$M$10:$M$4174, $M$4, Costos!$D$10:$D$4174, B92)</f>
        <v>0</v>
      </c>
      <c r="N92" s="2">
        <f>SUMIFS(Costos!$J$10:$J$4174, Costos!$L$10:$L$4174, $N$3, Costos!$M$10:$M$4174, $N$4, Costos!$D$10:$D$4174, B92)</f>
        <v>0</v>
      </c>
      <c r="O92" s="2">
        <f t="shared" si="18"/>
        <v>0</v>
      </c>
    </row>
    <row r="93" spans="2:15">
      <c r="B93" s="2" t="e">
        <f>#REF!</f>
        <v>#REF!</v>
      </c>
      <c r="C93" s="2">
        <f>SUMIFS(Costos!$J$10:$J$4174, Costos!$L$10:$L$4174, $C$3, Costos!$M$10:$M$4174, $C$4, Costos!$D$10:$D$4174, B93)</f>
        <v>0</v>
      </c>
      <c r="D93" s="2">
        <f>SUMIFS(Costos!$J$10:$J$4174, Costos!$L$10:$L$4174, $D$3, Costos!$M$10:$M$4174, $D$4, Costos!$D$10:$D$4174, B93)</f>
        <v>0</v>
      </c>
      <c r="E93" s="2">
        <f>SUMIFS(Costos!$J$10:$J$4174, Costos!$L$10:$L$4174, $E$3, Costos!$M$10:$M$4174, $E$4, Costos!$D$10:$D$4174, B93)</f>
        <v>0</v>
      </c>
      <c r="F93" s="2">
        <f>SUMIFS(Costos!$J$10:$J$4174, Costos!$L$10:$L$4174, $F$3, Costos!$M$10:$M$4174, $F$4, Costos!$D$10:$D$4174, B93)</f>
        <v>0</v>
      </c>
      <c r="G93" s="2">
        <f>SUMIFS(Costos!$J$10:$J$4174, Costos!$L$10:$L$4174, $G$3, Costos!$M$10:$M$4174, $G$4, Costos!$D$10:$D$4174, B93)</f>
        <v>0</v>
      </c>
      <c r="H93" s="2">
        <f>SUMIFS(Costos!$J$10:$J$4174, Costos!$L$10:$L$4174, $H$3, Costos!$M$10:$M$4174, $H$4, Costos!$D$10:$D$4174, B93)</f>
        <v>0</v>
      </c>
      <c r="I93" s="2">
        <f>SUMIFS(Costos!$J$10:$J$4174, Costos!$L$10:$L$4174, $I$3, Costos!$M$10:$M$4174, $I$4, Costos!$D$10:$D$4174, B93)</f>
        <v>0</v>
      </c>
      <c r="J93" s="2">
        <f>SUMIFS(Costos!$J$10:$J$4174, Costos!$L$10:$L$4174, $J$3, Costos!$M$10:$M$4174, $J$4, Costos!$D$10:$D$4174, B93)</f>
        <v>0</v>
      </c>
      <c r="K93" s="2">
        <f>SUMIFS(Costos!$J$10:$J$4174, Costos!$L$10:$L$4174, $K$3, Costos!$M$10:$M$4174, $K$4, Costos!$D$10:$D$4174, B93)</f>
        <v>0</v>
      </c>
      <c r="L93" s="2">
        <f>SUMIFS(Costos!$J$10:$J$4174, Costos!$L$10:$L$4174, $L$3, Costos!$M$10:$M$4174, $L$4, Costos!$D$10:$D$4174, B93)</f>
        <v>0</v>
      </c>
      <c r="M93" s="2">
        <f>SUMIFS(Costos!$J$10:$J$4174, Costos!$L$10:$L$4174, $M$3, Costos!$M$10:$M$4174, $M$4, Costos!$D$10:$D$4174, B93)</f>
        <v>0</v>
      </c>
      <c r="N93" s="2">
        <f>SUMIFS(Costos!$J$10:$J$4174, Costos!$L$10:$L$4174, $N$3, Costos!$M$10:$M$4174, $N$4, Costos!$D$10:$D$4174, B93)</f>
        <v>0</v>
      </c>
      <c r="O93" s="2">
        <f t="shared" si="18"/>
        <v>0</v>
      </c>
    </row>
    <row r="94" spans="2:15">
      <c r="B94" s="2" t="e">
        <f>#REF!</f>
        <v>#REF!</v>
      </c>
      <c r="C94" s="2">
        <f>SUMIFS(Costos!$J$10:$J$4174, Costos!$L$10:$L$4174, $C$3, Costos!$M$10:$M$4174, $C$4, Costos!$D$10:$D$4174, B94)</f>
        <v>0</v>
      </c>
      <c r="D94" s="2">
        <f>SUMIFS(Costos!$J$10:$J$4174, Costos!$L$10:$L$4174, $D$3, Costos!$M$10:$M$4174, $D$4, Costos!$D$10:$D$4174, B94)</f>
        <v>0</v>
      </c>
      <c r="E94" s="2">
        <f>SUMIFS(Costos!$J$10:$J$4174, Costos!$L$10:$L$4174, $E$3, Costos!$M$10:$M$4174, $E$4, Costos!$D$10:$D$4174, B94)</f>
        <v>0</v>
      </c>
      <c r="F94" s="2">
        <f>SUMIFS(Costos!$J$10:$J$4174, Costos!$L$10:$L$4174, $F$3, Costos!$M$10:$M$4174, $F$4, Costos!$D$10:$D$4174, B94)</f>
        <v>0</v>
      </c>
      <c r="G94" s="2">
        <f>SUMIFS(Costos!$J$10:$J$4174, Costos!$L$10:$L$4174, $G$3, Costos!$M$10:$M$4174, $G$4, Costos!$D$10:$D$4174, B94)</f>
        <v>0</v>
      </c>
      <c r="H94" s="2">
        <f>SUMIFS(Costos!$J$10:$J$4174, Costos!$L$10:$L$4174, $H$3, Costos!$M$10:$M$4174, $H$4, Costos!$D$10:$D$4174, B94)</f>
        <v>0</v>
      </c>
      <c r="I94" s="2">
        <f>SUMIFS(Costos!$J$10:$J$4174, Costos!$L$10:$L$4174, $I$3, Costos!$M$10:$M$4174, $I$4, Costos!$D$10:$D$4174, B94)</f>
        <v>0</v>
      </c>
      <c r="J94" s="2">
        <f>SUMIFS(Costos!$J$10:$J$4174, Costos!$L$10:$L$4174, $J$3, Costos!$M$10:$M$4174, $J$4, Costos!$D$10:$D$4174, B94)</f>
        <v>0</v>
      </c>
      <c r="K94" s="2">
        <f>SUMIFS(Costos!$J$10:$J$4174, Costos!$L$10:$L$4174, $K$3, Costos!$M$10:$M$4174, $K$4, Costos!$D$10:$D$4174, B94)</f>
        <v>0</v>
      </c>
      <c r="L94" s="2">
        <f>SUMIFS(Costos!$J$10:$J$4174, Costos!$L$10:$L$4174, $L$3, Costos!$M$10:$M$4174, $L$4, Costos!$D$10:$D$4174, B94)</f>
        <v>0</v>
      </c>
      <c r="M94" s="2">
        <f>SUMIFS(Costos!$J$10:$J$4174, Costos!$L$10:$L$4174, $M$3, Costos!$M$10:$M$4174, $M$4, Costos!$D$10:$D$4174, B94)</f>
        <v>0</v>
      </c>
      <c r="N94" s="2">
        <f>SUMIFS(Costos!$J$10:$J$4174, Costos!$L$10:$L$4174, $N$3, Costos!$M$10:$M$4174, $N$4, Costos!$D$10:$D$4174, B94)</f>
        <v>0</v>
      </c>
      <c r="O94" s="2">
        <f t="shared" si="18"/>
        <v>0</v>
      </c>
    </row>
    <row r="95" spans="2:15">
      <c r="B95" s="2" t="e">
        <f>#REF!</f>
        <v>#REF!</v>
      </c>
      <c r="C95" s="2">
        <f>SUMIFS(Costos!$J$10:$J$4174, Costos!$L$10:$L$4174, $C$3, Costos!$M$10:$M$4174, $C$4, Costos!$D$10:$D$4174, B95)</f>
        <v>0</v>
      </c>
      <c r="D95" s="2">
        <f>SUMIFS(Costos!$J$10:$J$4174, Costos!$L$10:$L$4174, $D$3, Costos!$M$10:$M$4174, $D$4, Costos!$D$10:$D$4174, B95)</f>
        <v>0</v>
      </c>
      <c r="E95" s="2">
        <f>SUMIFS(Costos!$J$10:$J$4174, Costos!$L$10:$L$4174, $E$3, Costos!$M$10:$M$4174, $E$4, Costos!$D$10:$D$4174, B95)</f>
        <v>0</v>
      </c>
      <c r="F95" s="2">
        <f>SUMIFS(Costos!$J$10:$J$4174, Costos!$L$10:$L$4174, $F$3, Costos!$M$10:$M$4174, $F$4, Costos!$D$10:$D$4174, B95)</f>
        <v>0</v>
      </c>
      <c r="G95" s="2">
        <f>SUMIFS(Costos!$J$10:$J$4174, Costos!$L$10:$L$4174, $G$3, Costos!$M$10:$M$4174, $G$4, Costos!$D$10:$D$4174, B95)</f>
        <v>0</v>
      </c>
      <c r="H95" s="2">
        <f>SUMIFS(Costos!$J$10:$J$4174, Costos!$L$10:$L$4174, $H$3, Costos!$M$10:$M$4174, $H$4, Costos!$D$10:$D$4174, B95)</f>
        <v>0</v>
      </c>
      <c r="I95" s="2">
        <f>SUMIFS(Costos!$J$10:$J$4174, Costos!$L$10:$L$4174, $I$3, Costos!$M$10:$M$4174, $I$4, Costos!$D$10:$D$4174, B95)</f>
        <v>0</v>
      </c>
      <c r="J95" s="2">
        <f>SUMIFS(Costos!$J$10:$J$4174, Costos!$L$10:$L$4174, $J$3, Costos!$M$10:$M$4174, $J$4, Costos!$D$10:$D$4174, B95)</f>
        <v>0</v>
      </c>
      <c r="K95" s="2">
        <f>SUMIFS(Costos!$J$10:$J$4174, Costos!$L$10:$L$4174, $K$3, Costos!$M$10:$M$4174, $K$4, Costos!$D$10:$D$4174, B95)</f>
        <v>0</v>
      </c>
      <c r="L95" s="2">
        <f>SUMIFS(Costos!$J$10:$J$4174, Costos!$L$10:$L$4174, $L$3, Costos!$M$10:$M$4174, $L$4, Costos!$D$10:$D$4174, B95)</f>
        <v>0</v>
      </c>
      <c r="M95" s="2">
        <f>SUMIFS(Costos!$J$10:$J$4174, Costos!$L$10:$L$4174, $M$3, Costos!$M$10:$M$4174, $M$4, Costos!$D$10:$D$4174, B95)</f>
        <v>0</v>
      </c>
      <c r="N95" s="2">
        <f>SUMIFS(Costos!$J$10:$J$4174, Costos!$L$10:$L$4174, $N$3, Costos!$M$10:$M$4174, $N$4, Costos!$D$10:$D$4174, B95)</f>
        <v>0</v>
      </c>
      <c r="O95" s="2">
        <f t="shared" si="18"/>
        <v>0</v>
      </c>
    </row>
    <row r="96" spans="2:15">
      <c r="B96" s="2" t="e">
        <f>#REF!</f>
        <v>#REF!</v>
      </c>
      <c r="C96" s="2">
        <f>SUMIFS(Costos!$J$10:$J$4174, Costos!$L$10:$L$4174, $C$3, Costos!$M$10:$M$4174, $C$4, Costos!$D$10:$D$4174, B96)</f>
        <v>0</v>
      </c>
      <c r="D96" s="2">
        <f>SUMIFS(Costos!$J$10:$J$4174, Costos!$L$10:$L$4174, $D$3, Costos!$M$10:$M$4174, $D$4, Costos!$D$10:$D$4174, B96)</f>
        <v>0</v>
      </c>
      <c r="E96" s="2">
        <f>SUMIFS(Costos!$J$10:$J$4174, Costos!$L$10:$L$4174, $E$3, Costos!$M$10:$M$4174, $E$4, Costos!$D$10:$D$4174, B96)</f>
        <v>0</v>
      </c>
      <c r="F96" s="2">
        <f>SUMIFS(Costos!$J$10:$J$4174, Costos!$L$10:$L$4174, $F$3, Costos!$M$10:$M$4174, $F$4, Costos!$D$10:$D$4174, B96)</f>
        <v>0</v>
      </c>
      <c r="G96" s="2">
        <f>SUMIFS(Costos!$J$10:$J$4174, Costos!$L$10:$L$4174, $G$3, Costos!$M$10:$M$4174, $G$4, Costos!$D$10:$D$4174, B96)</f>
        <v>0</v>
      </c>
      <c r="H96" s="2">
        <f>SUMIFS(Costos!$J$10:$J$4174, Costos!$L$10:$L$4174, $H$3, Costos!$M$10:$M$4174, $H$4, Costos!$D$10:$D$4174, B96)</f>
        <v>0</v>
      </c>
      <c r="I96" s="2">
        <f>SUMIFS(Costos!$J$10:$J$4174, Costos!$L$10:$L$4174, $I$3, Costos!$M$10:$M$4174, $I$4, Costos!$D$10:$D$4174, B96)</f>
        <v>0</v>
      </c>
      <c r="J96" s="2">
        <f>SUMIFS(Costos!$J$10:$J$4174, Costos!$L$10:$L$4174, $J$3, Costos!$M$10:$M$4174, $J$4, Costos!$D$10:$D$4174, B96)</f>
        <v>0</v>
      </c>
      <c r="K96" s="2">
        <f>SUMIFS(Costos!$J$10:$J$4174, Costos!$L$10:$L$4174, $K$3, Costos!$M$10:$M$4174, $K$4, Costos!$D$10:$D$4174, B96)</f>
        <v>0</v>
      </c>
      <c r="L96" s="2">
        <f>SUMIFS(Costos!$J$10:$J$4174, Costos!$L$10:$L$4174, $L$3, Costos!$M$10:$M$4174, $L$4, Costos!$D$10:$D$4174, B96)</f>
        <v>0</v>
      </c>
      <c r="M96" s="2">
        <f>SUMIFS(Costos!$J$10:$J$4174, Costos!$L$10:$L$4174, $M$3, Costos!$M$10:$M$4174, $M$4, Costos!$D$10:$D$4174, B96)</f>
        <v>0</v>
      </c>
      <c r="N96" s="2">
        <f>SUMIFS(Costos!$J$10:$J$4174, Costos!$L$10:$L$4174, $N$3, Costos!$M$10:$M$4174, $N$4, Costos!$D$10:$D$4174, B96)</f>
        <v>0</v>
      </c>
      <c r="O96" s="2">
        <f t="shared" si="18"/>
        <v>0</v>
      </c>
    </row>
    <row r="97" spans="2:15">
      <c r="B97" s="2" t="e">
        <f>#REF!</f>
        <v>#REF!</v>
      </c>
      <c r="C97" s="2">
        <f>SUMIFS(Costos!$J$10:$J$4174, Costos!$L$10:$L$4174, $C$3, Costos!$M$10:$M$4174, $C$4, Costos!$D$10:$D$4174, B97)</f>
        <v>0</v>
      </c>
      <c r="D97" s="2">
        <f>SUMIFS(Costos!$J$10:$J$4174, Costos!$L$10:$L$4174, $D$3, Costos!$M$10:$M$4174, $D$4, Costos!$D$10:$D$4174, B97)</f>
        <v>0</v>
      </c>
      <c r="E97" s="2">
        <f>SUMIFS(Costos!$J$10:$J$4174, Costos!$L$10:$L$4174, $E$3, Costos!$M$10:$M$4174, $E$4, Costos!$D$10:$D$4174, B97)</f>
        <v>0</v>
      </c>
      <c r="F97" s="2">
        <f>SUMIFS(Costos!$J$10:$J$4174, Costos!$L$10:$L$4174, $F$3, Costos!$M$10:$M$4174, $F$4, Costos!$D$10:$D$4174, B97)</f>
        <v>0</v>
      </c>
      <c r="G97" s="2">
        <f>SUMIFS(Costos!$J$10:$J$4174, Costos!$L$10:$L$4174, $G$3, Costos!$M$10:$M$4174, $G$4, Costos!$D$10:$D$4174, B97)</f>
        <v>0</v>
      </c>
      <c r="H97" s="2">
        <f>SUMIFS(Costos!$J$10:$J$4174, Costos!$L$10:$L$4174, $H$3, Costos!$M$10:$M$4174, $H$4, Costos!$D$10:$D$4174, B97)</f>
        <v>0</v>
      </c>
      <c r="I97" s="2">
        <f>SUMIFS(Costos!$J$10:$J$4174, Costos!$L$10:$L$4174, $I$3, Costos!$M$10:$M$4174, $I$4, Costos!$D$10:$D$4174, B97)</f>
        <v>0</v>
      </c>
      <c r="J97" s="2">
        <f>SUMIFS(Costos!$J$10:$J$4174, Costos!$L$10:$L$4174, $J$3, Costos!$M$10:$M$4174, $J$4, Costos!$D$10:$D$4174, B97)</f>
        <v>0</v>
      </c>
      <c r="K97" s="2">
        <f>SUMIFS(Costos!$J$10:$J$4174, Costos!$L$10:$L$4174, $K$3, Costos!$M$10:$M$4174, $K$4, Costos!$D$10:$D$4174, B97)</f>
        <v>0</v>
      </c>
      <c r="L97" s="2">
        <f>SUMIFS(Costos!$J$10:$J$4174, Costos!$L$10:$L$4174, $L$3, Costos!$M$10:$M$4174, $L$4, Costos!$D$10:$D$4174, B97)</f>
        <v>0</v>
      </c>
      <c r="M97" s="2">
        <f>SUMIFS(Costos!$J$10:$J$4174, Costos!$L$10:$L$4174, $M$3, Costos!$M$10:$M$4174, $M$4, Costos!$D$10:$D$4174, B97)</f>
        <v>0</v>
      </c>
      <c r="N97" s="2">
        <f>SUMIFS(Costos!$J$10:$J$4174, Costos!$L$10:$L$4174, $N$3, Costos!$M$10:$M$4174, $N$4, Costos!$D$10:$D$4174, B97)</f>
        <v>0</v>
      </c>
      <c r="O97" s="2">
        <f t="shared" si="18"/>
        <v>0</v>
      </c>
    </row>
    <row r="98" spans="2:15">
      <c r="B98" s="2" t="e">
        <f>#REF!</f>
        <v>#REF!</v>
      </c>
      <c r="C98" s="2">
        <f>SUMIFS(Costos!$J$10:$J$4174, Costos!$L$10:$L$4174, $C$3, Costos!$M$10:$M$4174, $C$4, Costos!$D$10:$D$4174, B98)</f>
        <v>0</v>
      </c>
      <c r="D98" s="2">
        <f>SUMIFS(Costos!$J$10:$J$4174, Costos!$L$10:$L$4174, $D$3, Costos!$M$10:$M$4174, $D$4, Costos!$D$10:$D$4174, B98)</f>
        <v>0</v>
      </c>
      <c r="E98" s="2">
        <f>SUMIFS(Costos!$J$10:$J$4174, Costos!$L$10:$L$4174, $E$3, Costos!$M$10:$M$4174, $E$4, Costos!$D$10:$D$4174, B98)</f>
        <v>0</v>
      </c>
      <c r="F98" s="2">
        <f>SUMIFS(Costos!$J$10:$J$4174, Costos!$L$10:$L$4174, $F$3, Costos!$M$10:$M$4174, $F$4, Costos!$D$10:$D$4174, B98)</f>
        <v>0</v>
      </c>
      <c r="G98" s="2">
        <f>SUMIFS(Costos!$J$10:$J$4174, Costos!$L$10:$L$4174, $G$3, Costos!$M$10:$M$4174, $G$4, Costos!$D$10:$D$4174, B98)</f>
        <v>0</v>
      </c>
      <c r="H98" s="2">
        <f>SUMIFS(Costos!$J$10:$J$4174, Costos!$L$10:$L$4174, $H$3, Costos!$M$10:$M$4174, $H$4, Costos!$D$10:$D$4174, B98)</f>
        <v>0</v>
      </c>
      <c r="I98" s="2">
        <f>SUMIFS(Costos!$J$10:$J$4174, Costos!$L$10:$L$4174, $I$3, Costos!$M$10:$M$4174, $I$4, Costos!$D$10:$D$4174, B98)</f>
        <v>0</v>
      </c>
      <c r="J98" s="2">
        <f>SUMIFS(Costos!$J$10:$J$4174, Costos!$L$10:$L$4174, $J$3, Costos!$M$10:$M$4174, $J$4, Costos!$D$10:$D$4174, B98)</f>
        <v>0</v>
      </c>
      <c r="K98" s="2">
        <f>SUMIFS(Costos!$J$10:$J$4174, Costos!$L$10:$L$4174, $K$3, Costos!$M$10:$M$4174, $K$4, Costos!$D$10:$D$4174, B98)</f>
        <v>0</v>
      </c>
      <c r="L98" s="2">
        <f>SUMIFS(Costos!$J$10:$J$4174, Costos!$L$10:$L$4174, $L$3, Costos!$M$10:$M$4174, $L$4, Costos!$D$10:$D$4174, B98)</f>
        <v>0</v>
      </c>
      <c r="M98" s="2">
        <f>SUMIFS(Costos!$J$10:$J$4174, Costos!$L$10:$L$4174, $M$3, Costos!$M$10:$M$4174, $M$4, Costos!$D$10:$D$4174, B98)</f>
        <v>0</v>
      </c>
      <c r="N98" s="2">
        <f>SUMIFS(Costos!$J$10:$J$4174, Costos!$L$10:$L$4174, $N$3, Costos!$M$10:$M$4174, $N$4, Costos!$D$10:$D$4174, B98)</f>
        <v>0</v>
      </c>
      <c r="O98" s="2">
        <f t="shared" si="18"/>
        <v>0</v>
      </c>
    </row>
    <row r="99" spans="2:15">
      <c r="B99" s="2" t="e">
        <f>#REF!</f>
        <v>#REF!</v>
      </c>
      <c r="C99" s="2">
        <f>SUMIFS(Costos!$J$10:$J$4174, Costos!$L$10:$L$4174, $C$3, Costos!$M$10:$M$4174, $C$4, Costos!$D$10:$D$4174, B99)</f>
        <v>0</v>
      </c>
      <c r="D99" s="2">
        <f>SUMIFS(Costos!$J$10:$J$4174, Costos!$L$10:$L$4174, $D$3, Costos!$M$10:$M$4174, $D$4, Costos!$D$10:$D$4174, B99)</f>
        <v>0</v>
      </c>
      <c r="E99" s="2">
        <f>SUMIFS(Costos!$J$10:$J$4174, Costos!$L$10:$L$4174, $E$3, Costos!$M$10:$M$4174, $E$4, Costos!$D$10:$D$4174, B99)</f>
        <v>0</v>
      </c>
      <c r="F99" s="2">
        <f>SUMIFS(Costos!$J$10:$J$4174, Costos!$L$10:$L$4174, $F$3, Costos!$M$10:$M$4174, $F$4, Costos!$D$10:$D$4174, B99)</f>
        <v>0</v>
      </c>
      <c r="G99" s="2">
        <f>SUMIFS(Costos!$J$10:$J$4174, Costos!$L$10:$L$4174, $G$3, Costos!$M$10:$M$4174, $G$4, Costos!$D$10:$D$4174, B99)</f>
        <v>0</v>
      </c>
      <c r="H99" s="2">
        <f>SUMIFS(Costos!$J$10:$J$4174, Costos!$L$10:$L$4174, $H$3, Costos!$M$10:$M$4174, $H$4, Costos!$D$10:$D$4174, B99)</f>
        <v>0</v>
      </c>
      <c r="I99" s="2">
        <f>SUMIFS(Costos!$J$10:$J$4174, Costos!$L$10:$L$4174, $I$3, Costos!$M$10:$M$4174, $I$4, Costos!$D$10:$D$4174, B99)</f>
        <v>0</v>
      </c>
      <c r="J99" s="2">
        <f>SUMIFS(Costos!$J$10:$J$4174, Costos!$L$10:$L$4174, $J$3, Costos!$M$10:$M$4174, $J$4, Costos!$D$10:$D$4174, B99)</f>
        <v>0</v>
      </c>
      <c r="K99" s="2">
        <f>SUMIFS(Costos!$J$10:$J$4174, Costos!$L$10:$L$4174, $K$3, Costos!$M$10:$M$4174, $K$4, Costos!$D$10:$D$4174, B99)</f>
        <v>0</v>
      </c>
      <c r="L99" s="2">
        <f>SUMIFS(Costos!$J$10:$J$4174, Costos!$L$10:$L$4174, $L$3, Costos!$M$10:$M$4174, $L$4, Costos!$D$10:$D$4174, B99)</f>
        <v>0</v>
      </c>
      <c r="M99" s="2">
        <f>SUMIFS(Costos!$J$10:$J$4174, Costos!$L$10:$L$4174, $M$3, Costos!$M$10:$M$4174, $M$4, Costos!$D$10:$D$4174, B99)</f>
        <v>0</v>
      </c>
      <c r="N99" s="2">
        <f>SUMIFS(Costos!$J$10:$J$4174, Costos!$L$10:$L$4174, $N$3, Costos!$M$10:$M$4174, $N$4, Costos!$D$10:$D$4174, B99)</f>
        <v>0</v>
      </c>
      <c r="O99" s="2">
        <f t="shared" si="18"/>
        <v>0</v>
      </c>
    </row>
    <row r="100" spans="2:15">
      <c r="B100" s="2" t="e">
        <f>#REF!</f>
        <v>#REF!</v>
      </c>
      <c r="C100" s="2">
        <f>SUMIFS(Costos!$J$10:$J$4174, Costos!$L$10:$L$4174, $C$3, Costos!$M$10:$M$4174, $C$4, Costos!$D$10:$D$4174, B100)</f>
        <v>0</v>
      </c>
      <c r="D100" s="2">
        <f>SUMIFS(Costos!$J$10:$J$4174, Costos!$L$10:$L$4174, $D$3, Costos!$M$10:$M$4174, $D$4, Costos!$D$10:$D$4174, B100)</f>
        <v>0</v>
      </c>
      <c r="E100" s="2">
        <f>SUMIFS(Costos!$J$10:$J$4174, Costos!$L$10:$L$4174, $E$3, Costos!$M$10:$M$4174, $E$4, Costos!$D$10:$D$4174, B100)</f>
        <v>0</v>
      </c>
      <c r="F100" s="2">
        <f>SUMIFS(Costos!$J$10:$J$4174, Costos!$L$10:$L$4174, $F$3, Costos!$M$10:$M$4174, $F$4, Costos!$D$10:$D$4174, B100)</f>
        <v>0</v>
      </c>
      <c r="G100" s="2">
        <f>SUMIFS(Costos!$J$10:$J$4174, Costos!$L$10:$L$4174, $G$3, Costos!$M$10:$M$4174, $G$4, Costos!$D$10:$D$4174, B100)</f>
        <v>0</v>
      </c>
      <c r="H100" s="2">
        <f>SUMIFS(Costos!$J$10:$J$4174, Costos!$L$10:$L$4174, $H$3, Costos!$M$10:$M$4174, $H$4, Costos!$D$10:$D$4174, B100)</f>
        <v>0</v>
      </c>
      <c r="I100" s="2">
        <f>SUMIFS(Costos!$J$10:$J$4174, Costos!$L$10:$L$4174, $I$3, Costos!$M$10:$M$4174, $I$4, Costos!$D$10:$D$4174, B100)</f>
        <v>0</v>
      </c>
      <c r="J100" s="2">
        <f>SUMIFS(Costos!$J$10:$J$4174, Costos!$L$10:$L$4174, $J$3, Costos!$M$10:$M$4174, $J$4, Costos!$D$10:$D$4174, B100)</f>
        <v>0</v>
      </c>
      <c r="K100" s="2">
        <f>SUMIFS(Costos!$J$10:$J$4174, Costos!$L$10:$L$4174, $K$3, Costos!$M$10:$M$4174, $K$4, Costos!$D$10:$D$4174, B100)</f>
        <v>0</v>
      </c>
      <c r="L100" s="2">
        <f>SUMIFS(Costos!$J$10:$J$4174, Costos!$L$10:$L$4174, $L$3, Costos!$M$10:$M$4174, $L$4, Costos!$D$10:$D$4174, B100)</f>
        <v>0</v>
      </c>
      <c r="M100" s="2">
        <f>SUMIFS(Costos!$J$10:$J$4174, Costos!$L$10:$L$4174, $M$3, Costos!$M$10:$M$4174, $M$4, Costos!$D$10:$D$4174, B100)</f>
        <v>0</v>
      </c>
      <c r="N100" s="2">
        <f>SUMIFS(Costos!$J$10:$J$4174, Costos!$L$10:$L$4174, $N$3, Costos!$M$10:$M$4174, $N$4, Costos!$D$10:$D$4174, B100)</f>
        <v>0</v>
      </c>
      <c r="O100" s="2">
        <f t="shared" si="18"/>
        <v>0</v>
      </c>
    </row>
    <row r="101" spans="2:15">
      <c r="B101" s="2" t="e">
        <f>#REF!</f>
        <v>#REF!</v>
      </c>
      <c r="C101" s="2">
        <f>SUMIFS(Costos!$J$10:$J$4174, Costos!$L$10:$L$4174, $C$3, Costos!$M$10:$M$4174, $C$4, Costos!$D$10:$D$4174, B101)</f>
        <v>0</v>
      </c>
      <c r="D101" s="2">
        <f>SUMIFS(Costos!$J$10:$J$4174, Costos!$L$10:$L$4174, $D$3, Costos!$M$10:$M$4174, $D$4, Costos!$D$10:$D$4174, B101)</f>
        <v>0</v>
      </c>
      <c r="E101" s="2">
        <f>SUMIFS(Costos!$J$10:$J$4174, Costos!$L$10:$L$4174, $E$3, Costos!$M$10:$M$4174, $E$4, Costos!$D$10:$D$4174, B101)</f>
        <v>0</v>
      </c>
      <c r="F101" s="2">
        <f>SUMIFS(Costos!$J$10:$J$4174, Costos!$L$10:$L$4174, $F$3, Costos!$M$10:$M$4174, $F$4, Costos!$D$10:$D$4174, B101)</f>
        <v>0</v>
      </c>
      <c r="G101" s="2">
        <f>SUMIFS(Costos!$J$10:$J$4174, Costos!$L$10:$L$4174, $G$3, Costos!$M$10:$M$4174, $G$4, Costos!$D$10:$D$4174, B101)</f>
        <v>0</v>
      </c>
      <c r="H101" s="2">
        <f>SUMIFS(Costos!$J$10:$J$4174, Costos!$L$10:$L$4174, $H$3, Costos!$M$10:$M$4174, $H$4, Costos!$D$10:$D$4174, B101)</f>
        <v>0</v>
      </c>
      <c r="I101" s="2">
        <f>SUMIFS(Costos!$J$10:$J$4174, Costos!$L$10:$L$4174, $I$3, Costos!$M$10:$M$4174, $I$4, Costos!$D$10:$D$4174, B101)</f>
        <v>0</v>
      </c>
      <c r="J101" s="2">
        <f>SUMIFS(Costos!$J$10:$J$4174, Costos!$L$10:$L$4174, $J$3, Costos!$M$10:$M$4174, $J$4, Costos!$D$10:$D$4174, B101)</f>
        <v>0</v>
      </c>
      <c r="K101" s="2">
        <f>SUMIFS(Costos!$J$10:$J$4174, Costos!$L$10:$L$4174, $K$3, Costos!$M$10:$M$4174, $K$4, Costos!$D$10:$D$4174, B101)</f>
        <v>0</v>
      </c>
      <c r="L101" s="2">
        <f>SUMIFS(Costos!$J$10:$J$4174, Costos!$L$10:$L$4174, $L$3, Costos!$M$10:$M$4174, $L$4, Costos!$D$10:$D$4174, B101)</f>
        <v>0</v>
      </c>
      <c r="M101" s="2">
        <f>SUMIFS(Costos!$J$10:$J$4174, Costos!$L$10:$L$4174, $M$3, Costos!$M$10:$M$4174, $M$4, Costos!$D$10:$D$4174, B101)</f>
        <v>0</v>
      </c>
      <c r="N101" s="2">
        <f>SUMIFS(Costos!$J$10:$J$4174, Costos!$L$10:$L$4174, $N$3, Costos!$M$10:$M$4174, $N$4, Costos!$D$10:$D$4174, B101)</f>
        <v>0</v>
      </c>
      <c r="O101" s="2">
        <f t="shared" si="18"/>
        <v>0</v>
      </c>
    </row>
    <row r="102" spans="2:15">
      <c r="B102" s="2" t="e">
        <f>#REF!</f>
        <v>#REF!</v>
      </c>
      <c r="C102" s="2">
        <f>SUMIFS(Costos!$J$10:$J$4174, Costos!$L$10:$L$4174, $C$3, Costos!$M$10:$M$4174, $C$4, Costos!$D$10:$D$4174, B102)</f>
        <v>0</v>
      </c>
      <c r="D102" s="2">
        <f>SUMIFS(Costos!$J$10:$J$4174, Costos!$L$10:$L$4174, $D$3, Costos!$M$10:$M$4174, $D$4, Costos!$D$10:$D$4174, B102)</f>
        <v>0</v>
      </c>
      <c r="E102" s="2">
        <f>SUMIFS(Costos!$J$10:$J$4174, Costos!$L$10:$L$4174, $E$3, Costos!$M$10:$M$4174, $E$4, Costos!$D$10:$D$4174, B102)</f>
        <v>0</v>
      </c>
      <c r="F102" s="2">
        <f>SUMIFS(Costos!$J$10:$J$4174, Costos!$L$10:$L$4174, $F$3, Costos!$M$10:$M$4174, $F$4, Costos!$D$10:$D$4174, B102)</f>
        <v>0</v>
      </c>
      <c r="G102" s="2">
        <f>SUMIFS(Costos!$J$10:$J$4174, Costos!$L$10:$L$4174, $G$3, Costos!$M$10:$M$4174, $G$4, Costos!$D$10:$D$4174, B102)</f>
        <v>0</v>
      </c>
      <c r="H102" s="2">
        <f>SUMIFS(Costos!$J$10:$J$4174, Costos!$L$10:$L$4174, $H$3, Costos!$M$10:$M$4174, $H$4, Costos!$D$10:$D$4174, B102)</f>
        <v>0</v>
      </c>
      <c r="I102" s="2">
        <f>SUMIFS(Costos!$J$10:$J$4174, Costos!$L$10:$L$4174, $I$3, Costos!$M$10:$M$4174, $I$4, Costos!$D$10:$D$4174, B102)</f>
        <v>0</v>
      </c>
      <c r="J102" s="2">
        <f>SUMIFS(Costos!$J$10:$J$4174, Costos!$L$10:$L$4174, $J$3, Costos!$M$10:$M$4174, $J$4, Costos!$D$10:$D$4174, B102)</f>
        <v>0</v>
      </c>
      <c r="K102" s="2">
        <f>SUMIFS(Costos!$J$10:$J$4174, Costos!$L$10:$L$4174, $K$3, Costos!$M$10:$M$4174, $K$4, Costos!$D$10:$D$4174, B102)</f>
        <v>0</v>
      </c>
      <c r="L102" s="2">
        <f>SUMIFS(Costos!$J$10:$J$4174, Costos!$L$10:$L$4174, $L$3, Costos!$M$10:$M$4174, $L$4, Costos!$D$10:$D$4174, B102)</f>
        <v>0</v>
      </c>
      <c r="M102" s="2">
        <f>SUMIFS(Costos!$J$10:$J$4174, Costos!$L$10:$L$4174, $M$3, Costos!$M$10:$M$4174, $M$4, Costos!$D$10:$D$4174, B102)</f>
        <v>0</v>
      </c>
      <c r="N102" s="2">
        <f>SUMIFS(Costos!$J$10:$J$4174, Costos!$L$10:$L$4174, $N$3, Costos!$M$10:$M$4174, $N$4, Costos!$D$10:$D$4174, B102)</f>
        <v>0</v>
      </c>
      <c r="O102" s="2">
        <f t="shared" si="18"/>
        <v>0</v>
      </c>
    </row>
    <row r="103" spans="2:15">
      <c r="B103" s="2" t="e">
        <f>#REF!</f>
        <v>#REF!</v>
      </c>
      <c r="C103" s="2">
        <f>SUMIFS(Costos!$J$10:$J$4174, Costos!$L$10:$L$4174, $C$3, Costos!$M$10:$M$4174, $C$4, Costos!$D$10:$D$4174, B103)</f>
        <v>0</v>
      </c>
      <c r="D103" s="2">
        <f>SUMIFS(Costos!$J$10:$J$4174, Costos!$L$10:$L$4174, $D$3, Costos!$M$10:$M$4174, $D$4, Costos!$D$10:$D$4174, B103)</f>
        <v>0</v>
      </c>
      <c r="E103" s="2">
        <f>SUMIFS(Costos!$J$10:$J$4174, Costos!$L$10:$L$4174, $E$3, Costos!$M$10:$M$4174, $E$4, Costos!$D$10:$D$4174, B103)</f>
        <v>0</v>
      </c>
      <c r="F103" s="2">
        <f>SUMIFS(Costos!$J$10:$J$4174, Costos!$L$10:$L$4174, $F$3, Costos!$M$10:$M$4174, $F$4, Costos!$D$10:$D$4174, B103)</f>
        <v>0</v>
      </c>
      <c r="G103" s="2">
        <f>SUMIFS(Costos!$J$10:$J$4174, Costos!$L$10:$L$4174, $G$3, Costos!$M$10:$M$4174, $G$4, Costos!$D$10:$D$4174, B103)</f>
        <v>0</v>
      </c>
      <c r="H103" s="2">
        <f>SUMIFS(Costos!$J$10:$J$4174, Costos!$L$10:$L$4174, $H$3, Costos!$M$10:$M$4174, $H$4, Costos!$D$10:$D$4174, B103)</f>
        <v>0</v>
      </c>
      <c r="I103" s="2">
        <f>SUMIFS(Costos!$J$10:$J$4174, Costos!$L$10:$L$4174, $I$3, Costos!$M$10:$M$4174, $I$4, Costos!$D$10:$D$4174, B103)</f>
        <v>0</v>
      </c>
      <c r="J103" s="2">
        <f>SUMIFS(Costos!$J$10:$J$4174, Costos!$L$10:$L$4174, $J$3, Costos!$M$10:$M$4174, $J$4, Costos!$D$10:$D$4174, B103)</f>
        <v>0</v>
      </c>
      <c r="K103" s="2">
        <f>SUMIFS(Costos!$J$10:$J$4174, Costos!$L$10:$L$4174, $K$3, Costos!$M$10:$M$4174, $K$4, Costos!$D$10:$D$4174, B103)</f>
        <v>0</v>
      </c>
      <c r="L103" s="2">
        <f>SUMIFS(Costos!$J$10:$J$4174, Costos!$L$10:$L$4174, $L$3, Costos!$M$10:$M$4174, $L$4, Costos!$D$10:$D$4174, B103)</f>
        <v>0</v>
      </c>
      <c r="M103" s="2">
        <f>SUMIFS(Costos!$J$10:$J$4174, Costos!$L$10:$L$4174, $M$3, Costos!$M$10:$M$4174, $M$4, Costos!$D$10:$D$4174, B103)</f>
        <v>0</v>
      </c>
      <c r="N103" s="2">
        <f>SUMIFS(Costos!$J$10:$J$4174, Costos!$L$10:$L$4174, $N$3, Costos!$M$10:$M$4174, $N$4, Costos!$D$10:$D$4174, B103)</f>
        <v>0</v>
      </c>
      <c r="O103" s="2">
        <f t="shared" si="18"/>
        <v>0</v>
      </c>
    </row>
    <row r="104" spans="2:15">
      <c r="B104" s="2" t="e">
        <f>#REF!</f>
        <v>#REF!</v>
      </c>
      <c r="C104" s="2">
        <f>SUMIFS(Costos!$J$10:$J$4174, Costos!$L$10:$L$4174, $C$3, Costos!$M$10:$M$4174, $C$4, Costos!$D$10:$D$4174, B104)</f>
        <v>0</v>
      </c>
      <c r="D104" s="2">
        <f>SUMIFS(Costos!$J$10:$J$4174, Costos!$L$10:$L$4174, $D$3, Costos!$M$10:$M$4174, $D$4, Costos!$D$10:$D$4174, B104)</f>
        <v>0</v>
      </c>
      <c r="E104" s="2">
        <f>SUMIFS(Costos!$J$10:$J$4174, Costos!$L$10:$L$4174, $E$3, Costos!$M$10:$M$4174, $E$4, Costos!$D$10:$D$4174, B104)</f>
        <v>0</v>
      </c>
      <c r="F104" s="2">
        <f>SUMIFS(Costos!$J$10:$J$4174, Costos!$L$10:$L$4174, $F$3, Costos!$M$10:$M$4174, $F$4, Costos!$D$10:$D$4174, B104)</f>
        <v>0</v>
      </c>
      <c r="G104" s="2">
        <f>SUMIFS(Costos!$J$10:$J$4174, Costos!$L$10:$L$4174, $G$3, Costos!$M$10:$M$4174, $G$4, Costos!$D$10:$D$4174, B104)</f>
        <v>0</v>
      </c>
      <c r="H104" s="2">
        <f>SUMIFS(Costos!$J$10:$J$4174, Costos!$L$10:$L$4174, $H$3, Costos!$M$10:$M$4174, $H$4, Costos!$D$10:$D$4174, B104)</f>
        <v>0</v>
      </c>
      <c r="I104" s="2">
        <f>SUMIFS(Costos!$J$10:$J$4174, Costos!$L$10:$L$4174, $I$3, Costos!$M$10:$M$4174, $I$4, Costos!$D$10:$D$4174, B104)</f>
        <v>0</v>
      </c>
      <c r="J104" s="2">
        <f>SUMIFS(Costos!$J$10:$J$4174, Costos!$L$10:$L$4174, $J$3, Costos!$M$10:$M$4174, $J$4, Costos!$D$10:$D$4174, B104)</f>
        <v>0</v>
      </c>
      <c r="K104" s="2">
        <f>SUMIFS(Costos!$J$10:$J$4174, Costos!$L$10:$L$4174, $K$3, Costos!$M$10:$M$4174, $K$4, Costos!$D$10:$D$4174, B104)</f>
        <v>0</v>
      </c>
      <c r="L104" s="2">
        <f>SUMIFS(Costos!$J$10:$J$4174, Costos!$L$10:$L$4174, $L$3, Costos!$M$10:$M$4174, $L$4, Costos!$D$10:$D$4174, B104)</f>
        <v>0</v>
      </c>
      <c r="M104" s="2">
        <f>SUMIFS(Costos!$J$10:$J$4174, Costos!$L$10:$L$4174, $M$3, Costos!$M$10:$M$4174, $M$4, Costos!$D$10:$D$4174, B104)</f>
        <v>0</v>
      </c>
      <c r="N104" s="2">
        <f>SUMIFS(Costos!$J$10:$J$4174, Costos!$L$10:$L$4174, $N$3, Costos!$M$10:$M$4174, $N$4, Costos!$D$10:$D$4174, B104)</f>
        <v>0</v>
      </c>
      <c r="O104" s="2">
        <f t="shared" si="18"/>
        <v>0</v>
      </c>
    </row>
  </sheetData>
  <mergeCells count="9">
    <mergeCell ref="B59:O59"/>
    <mergeCell ref="AK11:AL11"/>
    <mergeCell ref="B6:O6"/>
    <mergeCell ref="Q6:AD6"/>
    <mergeCell ref="AF2:AH2"/>
    <mergeCell ref="AJ2:AL2"/>
    <mergeCell ref="AK6:AL6"/>
    <mergeCell ref="AK7:AL7"/>
    <mergeCell ref="AK9:AL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0.749992370372631"/>
  </sheetPr>
  <dimension ref="C1:N256"/>
  <sheetViews>
    <sheetView topLeftCell="A28" workbookViewId="0">
      <selection activeCell="E28" sqref="E28"/>
    </sheetView>
  </sheetViews>
  <sheetFormatPr baseColWidth="10" defaultColWidth="11.5703125" defaultRowHeight="15"/>
  <cols>
    <col min="1" max="1" width="11.5703125" style="27"/>
    <col min="2" max="2" width="1" style="27" customWidth="1"/>
    <col min="3" max="3" width="15.28515625" style="27" bestFit="1" customWidth="1"/>
    <col min="4" max="4" width="15.5703125" style="27" customWidth="1"/>
    <col min="5" max="5" width="18.85546875" style="27" customWidth="1"/>
    <col min="6" max="6" width="15.7109375" style="27" customWidth="1"/>
    <col min="7" max="7" width="37.7109375" style="27" bestFit="1" customWidth="1"/>
    <col min="8" max="8" width="39.42578125" style="27" bestFit="1" customWidth="1"/>
    <col min="9" max="9" width="27.28515625" style="34" bestFit="1" customWidth="1"/>
    <col min="10" max="10" width="29.140625" style="34" bestFit="1" customWidth="1"/>
    <col min="11" max="12" width="11.5703125" style="27"/>
    <col min="13" max="13" width="62.140625" style="27" bestFit="1" customWidth="1"/>
    <col min="14" max="14" width="39.42578125" style="27" bestFit="1" customWidth="1"/>
    <col min="15" max="15" width="22.140625" style="27" bestFit="1" customWidth="1"/>
    <col min="16" max="16384" width="11.5703125" style="27"/>
  </cols>
  <sheetData>
    <row r="1" spans="3:14" ht="15.75" thickBot="1">
      <c r="H1" s="90" t="s">
        <v>129</v>
      </c>
      <c r="I1" s="43"/>
      <c r="J1" s="43"/>
    </row>
    <row r="2" spans="3:14">
      <c r="H2" s="91" t="s">
        <v>130</v>
      </c>
      <c r="I2" s="43"/>
      <c r="J2" s="43"/>
    </row>
    <row r="3" spans="3:14">
      <c r="H3" s="92" t="s">
        <v>131</v>
      </c>
      <c r="I3" s="43"/>
      <c r="J3" s="43"/>
    </row>
    <row r="4" spans="3:14">
      <c r="H4" s="93" t="s">
        <v>132</v>
      </c>
      <c r="I4" s="43"/>
      <c r="J4" s="43"/>
    </row>
    <row r="5" spans="3:14" ht="15.75" thickBot="1">
      <c r="H5" s="94" t="s">
        <v>133</v>
      </c>
      <c r="I5" s="43"/>
      <c r="J5" s="43"/>
    </row>
    <row r="6" spans="3:14">
      <c r="I6" s="43"/>
      <c r="J6" s="43"/>
    </row>
    <row r="7" spans="3:14">
      <c r="I7" s="43"/>
      <c r="J7" s="43"/>
      <c r="L7" s="68"/>
    </row>
    <row r="8" spans="3:14" ht="15.75" thickBot="1">
      <c r="C8" s="92" t="s">
        <v>134</v>
      </c>
      <c r="I8" s="43"/>
      <c r="J8" s="43"/>
    </row>
    <row r="9" spans="3:14">
      <c r="C9" s="95" t="s">
        <v>135</v>
      </c>
      <c r="D9" s="96" t="s">
        <v>136</v>
      </c>
      <c r="E9" s="96" t="s">
        <v>137</v>
      </c>
      <c r="F9" s="96" t="s">
        <v>138</v>
      </c>
      <c r="G9" s="96" t="s">
        <v>139</v>
      </c>
      <c r="H9" s="96" t="s">
        <v>140</v>
      </c>
      <c r="I9" s="45" t="s">
        <v>141</v>
      </c>
      <c r="J9" s="47" t="s">
        <v>142</v>
      </c>
      <c r="M9" s="31" t="s">
        <v>137</v>
      </c>
      <c r="N9" s="30" t="s">
        <v>143</v>
      </c>
    </row>
    <row r="10" spans="3:14" ht="15.75" thickBot="1">
      <c r="C10" s="97"/>
      <c r="D10" s="98" t="s">
        <v>144</v>
      </c>
      <c r="E10" s="98" t="s">
        <v>143</v>
      </c>
      <c r="F10" s="98" t="s">
        <v>145</v>
      </c>
      <c r="G10" s="98" t="s">
        <v>146</v>
      </c>
      <c r="H10" s="98"/>
      <c r="I10" s="46"/>
      <c r="J10" s="48" t="s">
        <v>147</v>
      </c>
      <c r="N10" s="29" t="s">
        <v>148</v>
      </c>
    </row>
    <row r="11" spans="3:14">
      <c r="C11" s="37">
        <v>46105</v>
      </c>
      <c r="D11" s="38" t="s">
        <v>112</v>
      </c>
      <c r="E11" s="38" t="s">
        <v>143</v>
      </c>
      <c r="F11" s="38" t="s">
        <v>145</v>
      </c>
      <c r="G11" s="38" t="s">
        <v>149</v>
      </c>
      <c r="H11" s="38" t="s">
        <v>150</v>
      </c>
      <c r="I11" s="39"/>
      <c r="J11" s="40">
        <v>30000</v>
      </c>
      <c r="M11" s="28" t="s">
        <v>151</v>
      </c>
      <c r="N11" s="28" t="s">
        <v>152</v>
      </c>
    </row>
    <row r="12" spans="3:14">
      <c r="C12" s="41">
        <v>46105</v>
      </c>
      <c r="D12" s="28" t="s">
        <v>112</v>
      </c>
      <c r="E12" s="28" t="s">
        <v>147</v>
      </c>
      <c r="F12" s="28" t="s">
        <v>153</v>
      </c>
      <c r="G12" s="28" t="s">
        <v>114</v>
      </c>
      <c r="H12" s="28" t="s">
        <v>154</v>
      </c>
      <c r="I12" s="35"/>
      <c r="J12" s="42">
        <v>18000</v>
      </c>
      <c r="M12" s="28" t="s">
        <v>139</v>
      </c>
      <c r="N12" s="28" t="s">
        <v>146</v>
      </c>
    </row>
    <row r="13" spans="3:14">
      <c r="C13" s="36">
        <v>46104</v>
      </c>
      <c r="D13" s="28" t="s">
        <v>112</v>
      </c>
      <c r="E13" s="28" t="s">
        <v>147</v>
      </c>
      <c r="F13" s="28" t="s">
        <v>153</v>
      </c>
      <c r="G13" s="28" t="s">
        <v>155</v>
      </c>
      <c r="H13" s="28" t="s">
        <v>156</v>
      </c>
      <c r="I13" s="35"/>
      <c r="J13" s="35">
        <v>13850</v>
      </c>
      <c r="M13" s="28"/>
      <c r="N13" s="28"/>
    </row>
    <row r="14" spans="3:14" ht="15.75" thickBot="1">
      <c r="C14" s="70">
        <v>46105</v>
      </c>
      <c r="D14" s="71" t="s">
        <v>112</v>
      </c>
      <c r="E14" s="71" t="s">
        <v>147</v>
      </c>
      <c r="F14" s="71"/>
      <c r="G14" s="71"/>
      <c r="H14" s="71"/>
      <c r="I14" s="72"/>
      <c r="J14" s="73"/>
      <c r="M14" s="28" t="s">
        <v>142</v>
      </c>
      <c r="N14" s="28" t="s">
        <v>157</v>
      </c>
    </row>
    <row r="15" spans="3:14" ht="15.75" thickBot="1">
      <c r="I15" s="43"/>
      <c r="J15" s="44">
        <f>SUM(J12:J14)</f>
        <v>31850</v>
      </c>
    </row>
    <row r="16" spans="3:14" ht="22.9" customHeight="1" thickBot="1">
      <c r="I16" s="43"/>
      <c r="J16" s="107">
        <f>+J11-J15</f>
        <v>-1850</v>
      </c>
      <c r="N16" s="30" t="s">
        <v>147</v>
      </c>
    </row>
    <row r="17" spans="3:14" ht="15.75" thickBot="1">
      <c r="C17" s="91" t="s">
        <v>158</v>
      </c>
      <c r="I17" s="43"/>
      <c r="J17" s="69"/>
      <c r="N17" s="30"/>
    </row>
    <row r="18" spans="3:14">
      <c r="C18" s="95" t="s">
        <v>135</v>
      </c>
      <c r="D18" s="96" t="s">
        <v>136</v>
      </c>
      <c r="E18" s="96" t="s">
        <v>137</v>
      </c>
      <c r="F18" s="96" t="s">
        <v>138</v>
      </c>
      <c r="G18" s="96" t="s">
        <v>139</v>
      </c>
      <c r="H18" s="96" t="s">
        <v>140</v>
      </c>
      <c r="I18" s="45" t="s">
        <v>141</v>
      </c>
      <c r="J18" s="47" t="s">
        <v>142</v>
      </c>
      <c r="N18" s="30"/>
    </row>
    <row r="19" spans="3:14" ht="15.75" thickBot="1">
      <c r="C19" s="97"/>
      <c r="D19" s="98" t="s">
        <v>144</v>
      </c>
      <c r="E19" s="98" t="s">
        <v>143</v>
      </c>
      <c r="F19" s="98" t="s">
        <v>145</v>
      </c>
      <c r="G19" s="98" t="s">
        <v>146</v>
      </c>
      <c r="H19" s="98"/>
      <c r="I19" s="46"/>
      <c r="J19" s="48" t="s">
        <v>147</v>
      </c>
      <c r="N19" s="28" t="s">
        <v>159</v>
      </c>
    </row>
    <row r="20" spans="3:14">
      <c r="C20" s="37">
        <v>46106</v>
      </c>
      <c r="D20" s="38" t="s">
        <v>113</v>
      </c>
      <c r="E20" s="38" t="s">
        <v>143</v>
      </c>
      <c r="F20" s="38" t="s">
        <v>160</v>
      </c>
      <c r="G20" s="38" t="s">
        <v>161</v>
      </c>
      <c r="H20" s="38" t="s">
        <v>162</v>
      </c>
      <c r="I20" s="39"/>
      <c r="J20" s="145">
        <v>50000</v>
      </c>
      <c r="M20" s="28" t="s">
        <v>151</v>
      </c>
      <c r="N20" s="28" t="s">
        <v>163</v>
      </c>
    </row>
    <row r="21" spans="3:14">
      <c r="C21" s="41">
        <v>46106</v>
      </c>
      <c r="D21" s="28" t="s">
        <v>113</v>
      </c>
      <c r="E21" s="28" t="s">
        <v>147</v>
      </c>
      <c r="F21" s="28" t="s">
        <v>164</v>
      </c>
      <c r="G21" s="28" t="s">
        <v>165</v>
      </c>
      <c r="H21" s="28" t="s">
        <v>166</v>
      </c>
      <c r="I21" s="35"/>
      <c r="J21" s="42">
        <v>17000</v>
      </c>
      <c r="M21" s="28" t="s">
        <v>139</v>
      </c>
      <c r="N21" s="28" t="s">
        <v>167</v>
      </c>
    </row>
    <row r="22" spans="3:14">
      <c r="C22" s="41">
        <v>46106</v>
      </c>
      <c r="D22" s="28" t="s">
        <v>113</v>
      </c>
      <c r="E22" s="28" t="s">
        <v>147</v>
      </c>
      <c r="F22" s="28" t="s">
        <v>168</v>
      </c>
      <c r="G22" s="28" t="s">
        <v>169</v>
      </c>
      <c r="H22" s="28" t="s">
        <v>169</v>
      </c>
      <c r="I22" s="35"/>
      <c r="J22" s="42">
        <v>10180</v>
      </c>
      <c r="M22" s="28" t="s">
        <v>142</v>
      </c>
      <c r="N22" s="28"/>
    </row>
    <row r="23" spans="3:14">
      <c r="C23" s="41">
        <v>46106</v>
      </c>
      <c r="D23" s="28" t="s">
        <v>113</v>
      </c>
      <c r="E23" s="28" t="s">
        <v>147</v>
      </c>
      <c r="F23" s="28" t="s">
        <v>170</v>
      </c>
      <c r="G23" s="28" t="s">
        <v>171</v>
      </c>
      <c r="H23" s="28" t="s">
        <v>171</v>
      </c>
      <c r="I23" s="35"/>
      <c r="J23" s="42">
        <v>4960</v>
      </c>
    </row>
    <row r="24" spans="3:14">
      <c r="C24" s="41">
        <v>45738</v>
      </c>
      <c r="D24" s="28" t="s">
        <v>113</v>
      </c>
      <c r="E24" s="28" t="s">
        <v>147</v>
      </c>
      <c r="F24" s="28" t="s">
        <v>168</v>
      </c>
      <c r="G24" s="28" t="s">
        <v>169</v>
      </c>
      <c r="H24" s="28" t="s">
        <v>169</v>
      </c>
      <c r="I24" s="35"/>
      <c r="J24" s="110">
        <v>17850</v>
      </c>
    </row>
    <row r="25" spans="3:14">
      <c r="C25" s="41">
        <v>46105</v>
      </c>
      <c r="D25" s="28" t="s">
        <v>113</v>
      </c>
      <c r="E25" s="28" t="s">
        <v>147</v>
      </c>
      <c r="F25" s="28" t="s">
        <v>170</v>
      </c>
      <c r="G25" s="28" t="s">
        <v>171</v>
      </c>
      <c r="H25" s="28" t="s">
        <v>172</v>
      </c>
      <c r="I25" s="35"/>
      <c r="J25" s="110">
        <v>10999</v>
      </c>
    </row>
    <row r="26" spans="3:14" ht="21.75" thickBot="1">
      <c r="C26" s="111">
        <v>46106</v>
      </c>
      <c r="D26" s="112" t="s">
        <v>113</v>
      </c>
      <c r="E26" s="112" t="s">
        <v>147</v>
      </c>
      <c r="F26" s="112" t="s">
        <v>170</v>
      </c>
      <c r="G26" s="112"/>
      <c r="H26" s="163" t="s">
        <v>173</v>
      </c>
      <c r="I26" s="158">
        <v>60989</v>
      </c>
      <c r="J26" s="114"/>
    </row>
    <row r="27" spans="3:14" ht="15.75" thickBot="1">
      <c r="I27" s="43"/>
      <c r="J27" s="108">
        <f>SUM(J21:J26)</f>
        <v>60989</v>
      </c>
      <c r="M27" s="32" t="s">
        <v>174</v>
      </c>
      <c r="N27" s="28" t="s">
        <v>175</v>
      </c>
    </row>
    <row r="28" spans="3:14" ht="21.75" thickBot="1">
      <c r="I28" s="43"/>
      <c r="J28" s="146">
        <f>+J20-J27+I26</f>
        <v>50000</v>
      </c>
      <c r="N28" s="29" t="s">
        <v>176</v>
      </c>
    </row>
    <row r="29" spans="3:14" ht="21.75" thickBot="1">
      <c r="I29" s="43"/>
      <c r="J29" s="144">
        <f>+J20-J28</f>
        <v>0</v>
      </c>
    </row>
    <row r="30" spans="3:14" ht="15.75" thickBot="1">
      <c r="I30" s="43"/>
      <c r="J30" s="69"/>
      <c r="K30" s="34"/>
    </row>
    <row r="31" spans="3:14" ht="15.75" thickBot="1">
      <c r="C31" s="121" t="s">
        <v>177</v>
      </c>
      <c r="I31" s="43"/>
      <c r="J31" s="69"/>
    </row>
    <row r="32" spans="3:14" ht="15.75" thickBot="1">
      <c r="C32" s="74" t="s">
        <v>135</v>
      </c>
      <c r="D32" s="96" t="s">
        <v>136</v>
      </c>
      <c r="E32" s="96" t="s">
        <v>137</v>
      </c>
      <c r="F32" s="96" t="s">
        <v>138</v>
      </c>
      <c r="G32" s="96" t="s">
        <v>139</v>
      </c>
      <c r="H32" s="96" t="s">
        <v>140</v>
      </c>
      <c r="I32" s="45" t="s">
        <v>141</v>
      </c>
      <c r="J32" s="47" t="s">
        <v>142</v>
      </c>
      <c r="M32" s="105" t="s">
        <v>178</v>
      </c>
    </row>
    <row r="33" spans="3:13" ht="15.75" thickBot="1">
      <c r="C33" s="81"/>
      <c r="D33" s="100" t="s">
        <v>144</v>
      </c>
      <c r="E33" s="100" t="s">
        <v>143</v>
      </c>
      <c r="F33" s="100" t="s">
        <v>145</v>
      </c>
      <c r="G33" s="100" t="s">
        <v>146</v>
      </c>
      <c r="H33" s="100"/>
      <c r="I33" s="82"/>
      <c r="J33" s="83" t="s">
        <v>157</v>
      </c>
      <c r="M33" s="106" t="s">
        <v>179</v>
      </c>
    </row>
    <row r="34" spans="3:13">
      <c r="C34" s="37">
        <v>46108</v>
      </c>
      <c r="D34" s="38" t="s">
        <v>113</v>
      </c>
      <c r="E34" s="38" t="s">
        <v>180</v>
      </c>
      <c r="F34" s="38" t="s">
        <v>181</v>
      </c>
      <c r="G34" s="38" t="s">
        <v>182</v>
      </c>
      <c r="H34" s="38"/>
      <c r="I34" s="39"/>
      <c r="J34" s="109">
        <v>30000</v>
      </c>
    </row>
    <row r="35" spans="3:13" ht="15.75" thickBot="1">
      <c r="C35" s="111">
        <v>46108</v>
      </c>
      <c r="D35" s="112" t="s">
        <v>113</v>
      </c>
      <c r="E35" s="112" t="s">
        <v>147</v>
      </c>
      <c r="F35" s="112" t="s">
        <v>183</v>
      </c>
      <c r="G35" s="112" t="s">
        <v>184</v>
      </c>
      <c r="H35" s="112" t="s">
        <v>185</v>
      </c>
      <c r="I35" s="113"/>
      <c r="J35" s="174">
        <v>27051</v>
      </c>
    </row>
    <row r="36" spans="3:13" ht="21.75" thickBot="1">
      <c r="I36" s="43"/>
      <c r="J36" s="120">
        <f>+J34-J35</f>
        <v>2949</v>
      </c>
    </row>
    <row r="37" spans="3:13" ht="19.149999999999999" customHeight="1" thickBot="1">
      <c r="I37" s="43"/>
      <c r="J37" s="173"/>
    </row>
    <row r="38" spans="3:13" ht="21.75" hidden="1" thickBot="1">
      <c r="I38" s="43"/>
      <c r="J38" s="173"/>
    </row>
    <row r="39" spans="3:13" ht="21.75" hidden="1" thickBot="1">
      <c r="I39" s="43"/>
      <c r="J39" s="173"/>
    </row>
    <row r="40" spans="3:13">
      <c r="C40" s="37">
        <v>46104</v>
      </c>
      <c r="D40" s="38" t="s">
        <v>113</v>
      </c>
      <c r="E40" s="38" t="s">
        <v>147</v>
      </c>
      <c r="F40" s="38" t="s">
        <v>186</v>
      </c>
      <c r="G40" s="38" t="s">
        <v>187</v>
      </c>
      <c r="H40" s="38" t="s">
        <v>188</v>
      </c>
      <c r="I40" s="39"/>
      <c r="J40" s="175">
        <v>50000</v>
      </c>
    </row>
    <row r="41" spans="3:13">
      <c r="C41" s="126">
        <v>46105</v>
      </c>
      <c r="D41" s="29" t="s">
        <v>113</v>
      </c>
      <c r="E41" s="29" t="s">
        <v>147</v>
      </c>
      <c r="F41" s="29" t="s">
        <v>189</v>
      </c>
      <c r="G41" s="29" t="s">
        <v>187</v>
      </c>
      <c r="H41" s="29" t="s">
        <v>190</v>
      </c>
      <c r="I41" s="60"/>
      <c r="J41" s="118">
        <v>32930</v>
      </c>
    </row>
    <row r="42" spans="3:13">
      <c r="C42" s="41">
        <v>46122</v>
      </c>
      <c r="D42" s="29" t="s">
        <v>113</v>
      </c>
      <c r="E42" s="29" t="s">
        <v>147</v>
      </c>
      <c r="F42" s="28" t="s">
        <v>191</v>
      </c>
      <c r="G42" s="28" t="s">
        <v>191</v>
      </c>
      <c r="H42" s="28" t="s">
        <v>192</v>
      </c>
      <c r="I42" s="35">
        <v>2949</v>
      </c>
      <c r="J42" s="133">
        <v>3999</v>
      </c>
    </row>
    <row r="43" spans="3:13" ht="15.75" thickBot="1">
      <c r="C43" s="41">
        <v>46126</v>
      </c>
      <c r="D43" s="28" t="s">
        <v>193</v>
      </c>
      <c r="E43" s="29" t="s">
        <v>147</v>
      </c>
      <c r="F43" s="28" t="s">
        <v>118</v>
      </c>
      <c r="G43" s="28" t="s">
        <v>194</v>
      </c>
      <c r="H43" s="28" t="s">
        <v>195</v>
      </c>
      <c r="I43" s="35"/>
      <c r="J43" s="35">
        <v>24310</v>
      </c>
    </row>
    <row r="44" spans="3:13" ht="15.75" thickBot="1">
      <c r="C44" s="41"/>
      <c r="D44" s="28"/>
      <c r="E44" s="28"/>
      <c r="F44" s="28"/>
      <c r="G44" s="28"/>
      <c r="H44" s="28"/>
      <c r="I44" s="66"/>
      <c r="J44" s="132">
        <f>SUM(J41:J43)</f>
        <v>61239</v>
      </c>
    </row>
    <row r="45" spans="3:13" ht="21.75" thickBot="1">
      <c r="C45" s="116"/>
      <c r="D45" s="112"/>
      <c r="E45" s="112"/>
      <c r="F45" s="71"/>
      <c r="G45" s="71"/>
      <c r="H45" s="71"/>
      <c r="I45" s="131"/>
      <c r="J45" s="176">
        <f>+J40+I42-J41-J42-J43</f>
        <v>-8290</v>
      </c>
    </row>
    <row r="46" spans="3:13">
      <c r="I46" s="43"/>
      <c r="J46" s="69"/>
    </row>
    <row r="47" spans="3:13">
      <c r="I47" s="43"/>
      <c r="J47" s="69"/>
    </row>
    <row r="48" spans="3:13">
      <c r="I48" s="43"/>
      <c r="J48" s="69"/>
    </row>
    <row r="49" spans="3:14">
      <c r="I49" s="43"/>
      <c r="J49" s="69"/>
    </row>
    <row r="50" spans="3:14">
      <c r="I50" s="43"/>
      <c r="J50" s="69"/>
    </row>
    <row r="51" spans="3:14" ht="15.75" thickBot="1">
      <c r="I51" s="43"/>
      <c r="J51" s="69"/>
    </row>
    <row r="52" spans="3:14" ht="15.75" thickBot="1">
      <c r="C52" s="91" t="s">
        <v>196</v>
      </c>
      <c r="I52" s="43"/>
      <c r="J52" s="69"/>
      <c r="L52" s="62"/>
      <c r="M52" s="63"/>
      <c r="N52" s="75"/>
    </row>
    <row r="53" spans="3:14">
      <c r="C53" s="95" t="s">
        <v>135</v>
      </c>
      <c r="D53" s="96" t="s">
        <v>136</v>
      </c>
      <c r="E53" s="96" t="s">
        <v>137</v>
      </c>
      <c r="F53" s="96" t="s">
        <v>138</v>
      </c>
      <c r="G53" s="96" t="s">
        <v>139</v>
      </c>
      <c r="H53" s="96" t="s">
        <v>140</v>
      </c>
      <c r="I53" s="45" t="s">
        <v>141</v>
      </c>
      <c r="J53" s="47" t="s">
        <v>142</v>
      </c>
      <c r="L53" s="64"/>
      <c r="N53" s="76"/>
    </row>
    <row r="54" spans="3:14" ht="15.75" thickBot="1">
      <c r="C54" s="97"/>
      <c r="D54" s="98" t="s">
        <v>144</v>
      </c>
      <c r="E54" s="98" t="s">
        <v>143</v>
      </c>
      <c r="F54" s="98" t="s">
        <v>145</v>
      </c>
      <c r="G54" s="98" t="s">
        <v>146</v>
      </c>
      <c r="H54" s="100" t="s">
        <v>197</v>
      </c>
      <c r="I54" s="46"/>
      <c r="J54" s="48" t="s">
        <v>147</v>
      </c>
      <c r="L54" s="64"/>
      <c r="N54" s="76"/>
    </row>
    <row r="55" spans="3:14">
      <c r="C55" s="36">
        <v>46112</v>
      </c>
      <c r="D55" s="28" t="s">
        <v>113</v>
      </c>
      <c r="E55" s="28" t="s">
        <v>147</v>
      </c>
      <c r="F55" s="28" t="s">
        <v>160</v>
      </c>
      <c r="G55" s="28" t="s">
        <v>161</v>
      </c>
      <c r="H55" s="28" t="s">
        <v>162</v>
      </c>
      <c r="I55" s="35"/>
      <c r="J55" s="35">
        <v>20000</v>
      </c>
      <c r="L55" s="64"/>
      <c r="N55" s="76"/>
    </row>
    <row r="56" spans="3:14">
      <c r="C56" s="36">
        <v>45748</v>
      </c>
      <c r="D56" s="28" t="s">
        <v>113</v>
      </c>
      <c r="E56" s="28" t="s">
        <v>147</v>
      </c>
      <c r="F56" s="28" t="s">
        <v>160</v>
      </c>
      <c r="G56" s="28" t="s">
        <v>155</v>
      </c>
      <c r="H56" s="67" t="s">
        <v>198</v>
      </c>
      <c r="I56" s="35"/>
      <c r="J56" s="60">
        <v>800</v>
      </c>
      <c r="L56" s="64"/>
      <c r="N56" s="76"/>
    </row>
    <row r="57" spans="3:14">
      <c r="C57" s="36">
        <v>45748</v>
      </c>
      <c r="D57" s="28" t="s">
        <v>113</v>
      </c>
      <c r="E57" s="28" t="s">
        <v>147</v>
      </c>
      <c r="F57" s="28" t="s">
        <v>160</v>
      </c>
      <c r="G57" s="28" t="s">
        <v>155</v>
      </c>
      <c r="H57" s="28" t="s">
        <v>199</v>
      </c>
      <c r="I57" s="35"/>
      <c r="J57" s="60">
        <v>1000</v>
      </c>
      <c r="L57" s="64"/>
      <c r="N57" s="76"/>
    </row>
    <row r="58" spans="3:14">
      <c r="C58" s="36">
        <v>45748</v>
      </c>
      <c r="D58" s="28" t="s">
        <v>113</v>
      </c>
      <c r="E58" s="28" t="s">
        <v>147</v>
      </c>
      <c r="F58" s="28" t="s">
        <v>160</v>
      </c>
      <c r="G58" s="28" t="s">
        <v>155</v>
      </c>
      <c r="H58" s="27" t="s">
        <v>200</v>
      </c>
      <c r="I58" s="35"/>
      <c r="J58" s="60">
        <v>800</v>
      </c>
      <c r="L58" s="64"/>
      <c r="N58" s="76"/>
    </row>
    <row r="59" spans="3:14">
      <c r="C59" s="36">
        <v>46114</v>
      </c>
      <c r="D59" s="28" t="s">
        <v>113</v>
      </c>
      <c r="E59" s="28" t="s">
        <v>147</v>
      </c>
      <c r="F59" s="28" t="s">
        <v>160</v>
      </c>
      <c r="G59" s="28" t="s">
        <v>155</v>
      </c>
      <c r="H59" s="28" t="s">
        <v>201</v>
      </c>
      <c r="I59" s="35"/>
      <c r="J59" s="60">
        <v>4400</v>
      </c>
      <c r="L59" s="64"/>
      <c r="N59" s="76"/>
    </row>
    <row r="60" spans="3:14">
      <c r="C60" s="36">
        <v>46114</v>
      </c>
      <c r="D60" s="28" t="s">
        <v>113</v>
      </c>
      <c r="E60" s="28" t="s">
        <v>147</v>
      </c>
      <c r="F60" s="28" t="s">
        <v>160</v>
      </c>
      <c r="G60" s="28" t="s">
        <v>155</v>
      </c>
      <c r="H60" s="28" t="s">
        <v>201</v>
      </c>
      <c r="I60" s="35"/>
      <c r="J60" s="60">
        <v>4400</v>
      </c>
      <c r="L60" s="64"/>
      <c r="N60" s="76"/>
    </row>
    <row r="61" spans="3:14">
      <c r="C61" s="36">
        <v>46114</v>
      </c>
      <c r="D61" s="28" t="s">
        <v>113</v>
      </c>
      <c r="E61" s="28" t="s">
        <v>147</v>
      </c>
      <c r="F61" s="28" t="s">
        <v>160</v>
      </c>
      <c r="G61" s="28" t="s">
        <v>155</v>
      </c>
      <c r="H61" s="28" t="s">
        <v>200</v>
      </c>
      <c r="I61" s="35"/>
      <c r="J61" s="60">
        <v>800</v>
      </c>
      <c r="L61" s="64"/>
      <c r="N61" s="76"/>
    </row>
    <row r="62" spans="3:14">
      <c r="C62" s="36"/>
      <c r="D62" s="28"/>
      <c r="E62" s="28"/>
      <c r="F62" s="28"/>
      <c r="G62" s="28"/>
      <c r="H62" s="28"/>
      <c r="I62" s="35"/>
      <c r="J62" s="80"/>
      <c r="L62" s="64"/>
      <c r="N62" s="76"/>
    </row>
    <row r="63" spans="3:14" ht="15.75" thickBot="1">
      <c r="C63" s="28"/>
      <c r="D63" s="28"/>
      <c r="E63" s="28"/>
      <c r="F63" s="28"/>
      <c r="G63" s="28"/>
      <c r="H63" s="28"/>
      <c r="I63" s="35"/>
      <c r="J63" s="101">
        <f>+J56+J57+J58+J59+J60+J61</f>
        <v>12200</v>
      </c>
      <c r="L63" s="64"/>
      <c r="M63" s="27" t="s">
        <v>202</v>
      </c>
      <c r="N63" s="76"/>
    </row>
    <row r="64" spans="3:14" ht="21.75" thickBot="1">
      <c r="I64" s="43"/>
      <c r="J64" s="178">
        <f>+J55-J63</f>
        <v>7800</v>
      </c>
      <c r="L64" s="64"/>
      <c r="N64" s="76"/>
    </row>
    <row r="65" spans="3:14" ht="15.75" thickBot="1">
      <c r="C65" s="92" t="s">
        <v>203</v>
      </c>
      <c r="I65" s="43"/>
      <c r="J65" s="43"/>
      <c r="L65" s="64"/>
      <c r="N65" s="76"/>
    </row>
    <row r="66" spans="3:14">
      <c r="C66" s="95" t="s">
        <v>135</v>
      </c>
      <c r="D66" s="96" t="s">
        <v>136</v>
      </c>
      <c r="E66" s="96" t="s">
        <v>137</v>
      </c>
      <c r="F66" s="96" t="s">
        <v>138</v>
      </c>
      <c r="G66" s="96" t="s">
        <v>139</v>
      </c>
      <c r="H66" s="96" t="s">
        <v>140</v>
      </c>
      <c r="I66" s="45" t="s">
        <v>141</v>
      </c>
      <c r="J66" s="47" t="s">
        <v>142</v>
      </c>
      <c r="L66" s="64"/>
      <c r="N66" s="76"/>
    </row>
    <row r="67" spans="3:14" ht="15.75" thickBot="1">
      <c r="C67" s="97"/>
      <c r="D67" s="98" t="s">
        <v>144</v>
      </c>
      <c r="E67" s="98" t="s">
        <v>143</v>
      </c>
      <c r="F67" s="98" t="s">
        <v>145</v>
      </c>
      <c r="G67" s="98" t="s">
        <v>146</v>
      </c>
      <c r="H67" s="100" t="s">
        <v>197</v>
      </c>
      <c r="I67" s="46"/>
      <c r="J67" s="48" t="s">
        <v>147</v>
      </c>
      <c r="L67" s="64"/>
      <c r="N67" s="76"/>
    </row>
    <row r="68" spans="3:14" ht="18" customHeight="1">
      <c r="C68" s="36">
        <v>46112</v>
      </c>
      <c r="D68" s="28" t="s">
        <v>112</v>
      </c>
      <c r="E68" s="28" t="s">
        <v>147</v>
      </c>
      <c r="F68" s="28" t="s">
        <v>160</v>
      </c>
      <c r="G68" s="38" t="s">
        <v>149</v>
      </c>
      <c r="H68" s="28" t="s">
        <v>204</v>
      </c>
      <c r="I68" s="35"/>
      <c r="J68" s="143">
        <v>50000</v>
      </c>
      <c r="L68" s="64"/>
      <c r="N68" s="76"/>
    </row>
    <row r="69" spans="3:14" ht="14.45" customHeight="1">
      <c r="C69" s="36">
        <v>46112</v>
      </c>
      <c r="D69" s="28" t="s">
        <v>112</v>
      </c>
      <c r="E69" s="29" t="s">
        <v>147</v>
      </c>
      <c r="F69" s="29" t="s">
        <v>153</v>
      </c>
      <c r="G69" s="29" t="s">
        <v>114</v>
      </c>
      <c r="H69" s="28" t="s">
        <v>205</v>
      </c>
      <c r="I69" s="35"/>
      <c r="J69" s="35">
        <v>40000</v>
      </c>
      <c r="L69" s="64"/>
      <c r="N69" s="76"/>
    </row>
    <row r="70" spans="3:14" ht="14.45" customHeight="1">
      <c r="C70" s="36">
        <v>46112</v>
      </c>
      <c r="D70" s="66" t="s">
        <v>112</v>
      </c>
      <c r="E70" s="28" t="s">
        <v>147</v>
      </c>
      <c r="F70" s="28" t="s">
        <v>153</v>
      </c>
      <c r="G70" s="28" t="s">
        <v>155</v>
      </c>
      <c r="H70" s="67" t="s">
        <v>198</v>
      </c>
      <c r="I70" s="35"/>
      <c r="J70" s="35">
        <v>800</v>
      </c>
      <c r="L70" s="64"/>
      <c r="N70" s="76"/>
    </row>
    <row r="71" spans="3:14" ht="14.45" customHeight="1">
      <c r="C71" s="36">
        <v>46112</v>
      </c>
      <c r="D71" s="66" t="s">
        <v>112</v>
      </c>
      <c r="E71" s="28" t="s">
        <v>147</v>
      </c>
      <c r="F71" s="28" t="s">
        <v>153</v>
      </c>
      <c r="G71" s="28" t="s">
        <v>155</v>
      </c>
      <c r="H71" s="67" t="s">
        <v>200</v>
      </c>
      <c r="I71" s="35"/>
      <c r="J71" s="35">
        <v>800</v>
      </c>
      <c r="L71" s="64"/>
      <c r="N71" s="76"/>
    </row>
    <row r="72" spans="3:14" ht="14.45" customHeight="1" thickBot="1">
      <c r="C72" s="36">
        <v>46112</v>
      </c>
      <c r="D72" s="66" t="s">
        <v>112</v>
      </c>
      <c r="E72" s="28" t="s">
        <v>147</v>
      </c>
      <c r="F72" s="28" t="s">
        <v>153</v>
      </c>
      <c r="G72" s="28" t="s">
        <v>206</v>
      </c>
      <c r="H72" s="67" t="s">
        <v>207</v>
      </c>
      <c r="I72" s="35">
        <v>8400</v>
      </c>
      <c r="J72" s="35"/>
      <c r="L72" s="33"/>
      <c r="M72" s="65"/>
      <c r="N72" s="77"/>
    </row>
    <row r="73" spans="3:14" ht="22.9" customHeight="1" thickBot="1">
      <c r="C73" s="36">
        <v>46112</v>
      </c>
      <c r="D73" s="66" t="s">
        <v>112</v>
      </c>
      <c r="E73" s="28" t="s">
        <v>147</v>
      </c>
      <c r="F73" s="28"/>
      <c r="G73" s="28"/>
      <c r="H73" s="102"/>
      <c r="I73" s="162" t="s">
        <v>173</v>
      </c>
      <c r="J73" s="60"/>
    </row>
    <row r="74" spans="3:14" ht="16.5" thickBot="1">
      <c r="J74" s="147">
        <f>+J69+J70+J71+I72</f>
        <v>50000</v>
      </c>
      <c r="L74" s="259" t="s">
        <v>208</v>
      </c>
      <c r="M74" s="259"/>
    </row>
    <row r="75" spans="3:14" ht="21.75" thickBot="1">
      <c r="J75" s="148">
        <f>+J68-J69-J70-J71-I72</f>
        <v>0</v>
      </c>
    </row>
    <row r="76" spans="3:14" ht="15.75" thickBot="1"/>
    <row r="77" spans="3:14" ht="15.75" thickBot="1">
      <c r="C77" s="91" t="s">
        <v>209</v>
      </c>
    </row>
    <row r="78" spans="3:14">
      <c r="C78" s="95" t="s">
        <v>135</v>
      </c>
      <c r="D78" s="96" t="s">
        <v>136</v>
      </c>
      <c r="E78" s="96" t="s">
        <v>137</v>
      </c>
      <c r="F78" s="96" t="s">
        <v>138</v>
      </c>
      <c r="G78" s="96" t="s">
        <v>139</v>
      </c>
      <c r="H78" s="96" t="s">
        <v>140</v>
      </c>
      <c r="I78" s="45" t="s">
        <v>210</v>
      </c>
      <c r="J78" s="47" t="s">
        <v>142</v>
      </c>
    </row>
    <row r="79" spans="3:14" ht="15.75" thickBot="1">
      <c r="C79" s="99"/>
      <c r="D79" s="100" t="s">
        <v>144</v>
      </c>
      <c r="E79" s="100" t="s">
        <v>143</v>
      </c>
      <c r="F79" s="100" t="s">
        <v>145</v>
      </c>
      <c r="G79" s="100" t="s">
        <v>146</v>
      </c>
      <c r="H79" s="100" t="s">
        <v>197</v>
      </c>
      <c r="I79" s="82"/>
      <c r="J79" s="83" t="s">
        <v>147</v>
      </c>
    </row>
    <row r="80" spans="3:14" ht="15.75" thickBot="1">
      <c r="C80" s="150">
        <v>46114</v>
      </c>
      <c r="D80" s="84" t="s">
        <v>113</v>
      </c>
      <c r="E80" s="84" t="s">
        <v>147</v>
      </c>
      <c r="F80" s="84" t="s">
        <v>211</v>
      </c>
      <c r="G80" s="84" t="s">
        <v>212</v>
      </c>
      <c r="H80" s="84" t="s">
        <v>115</v>
      </c>
      <c r="I80" s="129">
        <v>298000</v>
      </c>
      <c r="J80" s="149">
        <v>298000</v>
      </c>
    </row>
    <row r="81" spans="3:13">
      <c r="C81" s="41">
        <v>46118</v>
      </c>
      <c r="D81" s="28" t="s">
        <v>113</v>
      </c>
      <c r="E81" s="28" t="s">
        <v>147</v>
      </c>
      <c r="F81" s="28" t="s">
        <v>213</v>
      </c>
      <c r="G81" s="28" t="s">
        <v>214</v>
      </c>
      <c r="H81" s="28" t="s">
        <v>213</v>
      </c>
      <c r="I81" s="35"/>
      <c r="J81" s="151">
        <v>200000</v>
      </c>
    </row>
    <row r="82" spans="3:13">
      <c r="C82" s="41">
        <v>46118</v>
      </c>
      <c r="D82" s="28" t="s">
        <v>113</v>
      </c>
      <c r="E82" s="28" t="s">
        <v>147</v>
      </c>
      <c r="F82" s="28" t="s">
        <v>213</v>
      </c>
      <c r="G82" s="28" t="s">
        <v>215</v>
      </c>
      <c r="H82" s="28" t="s">
        <v>216</v>
      </c>
      <c r="I82" s="35"/>
      <c r="J82" s="42">
        <v>160472</v>
      </c>
    </row>
    <row r="83" spans="3:13">
      <c r="C83" s="41">
        <v>46118</v>
      </c>
      <c r="D83" s="28" t="s">
        <v>113</v>
      </c>
      <c r="E83" s="28" t="s">
        <v>147</v>
      </c>
      <c r="F83" s="28" t="s">
        <v>213</v>
      </c>
      <c r="G83" s="28" t="s">
        <v>217</v>
      </c>
      <c r="H83" s="28" t="s">
        <v>218</v>
      </c>
      <c r="I83" s="35"/>
      <c r="J83" s="42">
        <v>10000</v>
      </c>
    </row>
    <row r="84" spans="3:13">
      <c r="C84" s="41">
        <v>46118</v>
      </c>
      <c r="D84" s="28" t="s">
        <v>113</v>
      </c>
      <c r="E84" s="28" t="s">
        <v>147</v>
      </c>
      <c r="F84" s="28" t="s">
        <v>213</v>
      </c>
      <c r="G84" s="28" t="s">
        <v>219</v>
      </c>
      <c r="H84" s="28" t="s">
        <v>218</v>
      </c>
      <c r="I84" s="35"/>
      <c r="J84" s="42">
        <v>10000</v>
      </c>
    </row>
    <row r="85" spans="3:13">
      <c r="C85" s="41">
        <v>46117</v>
      </c>
      <c r="D85" s="28" t="s">
        <v>113</v>
      </c>
      <c r="E85" s="28" t="s">
        <v>147</v>
      </c>
      <c r="F85" s="28" t="s">
        <v>220</v>
      </c>
      <c r="G85" s="28" t="s">
        <v>221</v>
      </c>
      <c r="H85" s="28" t="s">
        <v>222</v>
      </c>
      <c r="I85" s="103"/>
      <c r="J85" s="152">
        <v>27654</v>
      </c>
    </row>
    <row r="86" spans="3:13">
      <c r="C86" s="41">
        <v>46117</v>
      </c>
      <c r="D86" s="28" t="s">
        <v>113</v>
      </c>
      <c r="E86" s="28" t="s">
        <v>147</v>
      </c>
      <c r="F86" s="28" t="s">
        <v>145</v>
      </c>
      <c r="G86" s="28" t="s">
        <v>145</v>
      </c>
      <c r="H86" s="28"/>
      <c r="I86" s="103"/>
      <c r="J86" s="152">
        <v>7980</v>
      </c>
    </row>
    <row r="87" spans="3:13" ht="15.75" thickBot="1">
      <c r="C87" s="41"/>
      <c r="D87" s="28"/>
      <c r="E87" s="28"/>
      <c r="F87" s="28"/>
      <c r="G87" s="28"/>
      <c r="H87" s="28"/>
      <c r="I87" s="143">
        <v>16106</v>
      </c>
      <c r="J87" s="153">
        <f>+J82+J83+J84+J85+J86</f>
        <v>216106</v>
      </c>
    </row>
    <row r="88" spans="3:13" ht="21.75" thickBot="1">
      <c r="C88" s="33"/>
      <c r="D88" s="65"/>
      <c r="E88" s="65"/>
      <c r="F88" s="65"/>
      <c r="G88" s="65"/>
      <c r="H88" s="65"/>
      <c r="I88" s="161" t="s">
        <v>173</v>
      </c>
      <c r="J88" s="154">
        <f>+J82+J83+J84+J85+J86-J81-I87</f>
        <v>0</v>
      </c>
    </row>
    <row r="89" spans="3:13">
      <c r="J89" s="43"/>
    </row>
    <row r="90" spans="3:13" ht="15.75" thickBot="1"/>
    <row r="91" spans="3:13" ht="15.75" thickBot="1">
      <c r="C91" s="91" t="s">
        <v>223</v>
      </c>
    </row>
    <row r="92" spans="3:13" ht="15.75" thickBot="1">
      <c r="C92" s="95" t="s">
        <v>135</v>
      </c>
      <c r="D92" s="96" t="s">
        <v>136</v>
      </c>
      <c r="E92" s="96" t="s">
        <v>137</v>
      </c>
      <c r="F92" s="96" t="s">
        <v>138</v>
      </c>
      <c r="G92" s="96" t="s">
        <v>139</v>
      </c>
      <c r="H92" s="96" t="s">
        <v>140</v>
      </c>
      <c r="I92" s="45" t="s">
        <v>141</v>
      </c>
      <c r="J92" s="47" t="s">
        <v>142</v>
      </c>
      <c r="M92" s="90" t="s">
        <v>129</v>
      </c>
    </row>
    <row r="93" spans="3:13" ht="15.75" thickBot="1">
      <c r="C93" s="99"/>
      <c r="D93" s="100" t="s">
        <v>144</v>
      </c>
      <c r="E93" s="100" t="s">
        <v>143</v>
      </c>
      <c r="F93" s="100" t="s">
        <v>145</v>
      </c>
      <c r="G93" s="100" t="s">
        <v>146</v>
      </c>
      <c r="H93" s="100" t="s">
        <v>197</v>
      </c>
      <c r="I93" s="82"/>
      <c r="J93" s="83" t="s">
        <v>147</v>
      </c>
      <c r="M93" s="91" t="s">
        <v>130</v>
      </c>
    </row>
    <row r="94" spans="3:13" ht="15.75" thickBot="1">
      <c r="C94" s="150">
        <v>46118</v>
      </c>
      <c r="D94" s="84" t="s">
        <v>113</v>
      </c>
      <c r="E94" s="84" t="s">
        <v>147</v>
      </c>
      <c r="F94" s="84" t="s">
        <v>117</v>
      </c>
      <c r="G94" s="84" t="s">
        <v>224</v>
      </c>
      <c r="H94" s="122">
        <v>12769756</v>
      </c>
      <c r="I94" s="157"/>
      <c r="J94" s="164">
        <v>31980</v>
      </c>
      <c r="M94" s="92" t="s">
        <v>131</v>
      </c>
    </row>
    <row r="95" spans="3:13" ht="15.75" thickBot="1">
      <c r="C95" s="150">
        <v>46114</v>
      </c>
      <c r="D95" s="84" t="s">
        <v>113</v>
      </c>
      <c r="E95" s="84" t="s">
        <v>147</v>
      </c>
      <c r="F95" s="165" t="s">
        <v>117</v>
      </c>
      <c r="G95" s="84" t="s">
        <v>225</v>
      </c>
      <c r="H95" s="84">
        <v>12748766</v>
      </c>
      <c r="I95" s="157"/>
      <c r="J95" s="130">
        <v>44116</v>
      </c>
      <c r="M95" s="93" t="s">
        <v>132</v>
      </c>
    </row>
    <row r="96" spans="3:13" ht="15.75" thickBot="1">
      <c r="C96" s="150">
        <v>46114</v>
      </c>
      <c r="D96" s="84" t="s">
        <v>113</v>
      </c>
      <c r="E96" s="84" t="s">
        <v>147</v>
      </c>
      <c r="F96" s="165" t="s">
        <v>117</v>
      </c>
      <c r="G96" s="84" t="s">
        <v>225</v>
      </c>
      <c r="H96" s="84">
        <v>12748771</v>
      </c>
      <c r="I96" s="157"/>
      <c r="J96" s="166">
        <v>11029</v>
      </c>
      <c r="M96" s="94" t="s">
        <v>133</v>
      </c>
    </row>
    <row r="97" spans="3:13">
      <c r="C97" s="115"/>
      <c r="D97" s="28" t="s">
        <v>113</v>
      </c>
      <c r="E97" s="28" t="s">
        <v>147</v>
      </c>
      <c r="F97" s="28"/>
      <c r="G97" s="28"/>
      <c r="H97" s="28"/>
      <c r="I97" s="143">
        <v>20000</v>
      </c>
      <c r="J97" s="167">
        <f>SUM(J94:J96)</f>
        <v>87125</v>
      </c>
    </row>
    <row r="98" spans="3:13" ht="15.75" thickBot="1">
      <c r="C98" s="115"/>
      <c r="D98" s="28" t="s">
        <v>113</v>
      </c>
      <c r="E98" s="28" t="s">
        <v>147</v>
      </c>
      <c r="F98" s="28"/>
      <c r="G98" s="28"/>
      <c r="H98" s="28"/>
      <c r="I98" s="143">
        <v>67125</v>
      </c>
      <c r="J98" s="110"/>
    </row>
    <row r="99" spans="3:13" ht="20.45" customHeight="1" thickBot="1">
      <c r="C99" s="115"/>
      <c r="D99" s="28" t="s">
        <v>113</v>
      </c>
      <c r="E99" s="28" t="s">
        <v>147</v>
      </c>
      <c r="F99" s="28"/>
      <c r="G99" s="28"/>
      <c r="H99" s="28"/>
      <c r="I99" s="160" t="s">
        <v>173</v>
      </c>
      <c r="J99" s="159">
        <f>+J94+J95+J96-I97</f>
        <v>67125</v>
      </c>
    </row>
    <row r="100" spans="3:13" ht="24" customHeight="1" thickBot="1">
      <c r="C100" s="33"/>
      <c r="D100" s="65"/>
      <c r="E100" s="65"/>
      <c r="F100" s="65"/>
      <c r="G100" s="65"/>
      <c r="H100" s="65"/>
      <c r="I100" s="168"/>
      <c r="J100" s="156">
        <f>+I97+I98-J94-J95-J96</f>
        <v>0</v>
      </c>
    </row>
    <row r="101" spans="3:13" ht="15.75" thickBot="1">
      <c r="L101" s="170"/>
      <c r="M101" s="128" t="s">
        <v>226</v>
      </c>
    </row>
    <row r="102" spans="3:13" ht="15.75" thickBot="1">
      <c r="L102" s="136"/>
      <c r="M102" s="177" t="s">
        <v>227</v>
      </c>
    </row>
    <row r="103" spans="3:13">
      <c r="L103" s="171"/>
    </row>
    <row r="104" spans="3:13" ht="15.75" thickBot="1"/>
    <row r="105" spans="3:13" ht="15.75" thickBot="1">
      <c r="C105" s="121" t="s">
        <v>228</v>
      </c>
      <c r="L105" s="136"/>
    </row>
    <row r="106" spans="3:13">
      <c r="C106" s="74" t="s">
        <v>135</v>
      </c>
      <c r="D106" s="96" t="s">
        <v>136</v>
      </c>
      <c r="E106" s="96" t="s">
        <v>137</v>
      </c>
      <c r="F106" s="96" t="s">
        <v>138</v>
      </c>
      <c r="G106" s="96" t="s">
        <v>139</v>
      </c>
      <c r="H106" s="96" t="s">
        <v>140</v>
      </c>
      <c r="I106" s="45" t="s">
        <v>141</v>
      </c>
      <c r="J106" s="47" t="s">
        <v>142</v>
      </c>
      <c r="L106" s="136"/>
    </row>
    <row r="107" spans="3:13" ht="15.75" thickBot="1">
      <c r="C107" s="81"/>
      <c r="D107" s="100" t="s">
        <v>144</v>
      </c>
      <c r="E107" s="100" t="s">
        <v>143</v>
      </c>
      <c r="F107" s="100" t="s">
        <v>145</v>
      </c>
      <c r="G107" s="100" t="s">
        <v>146</v>
      </c>
      <c r="H107" s="100" t="s">
        <v>197</v>
      </c>
      <c r="I107" s="82"/>
      <c r="J107" s="83" t="s">
        <v>157</v>
      </c>
    </row>
    <row r="108" spans="3:13">
      <c r="C108" s="134">
        <v>46124</v>
      </c>
      <c r="D108" s="135" t="s">
        <v>113</v>
      </c>
      <c r="E108" s="135" t="s">
        <v>229</v>
      </c>
      <c r="F108" s="135" t="s">
        <v>187</v>
      </c>
      <c r="G108" s="135" t="s">
        <v>230</v>
      </c>
      <c r="H108" s="135"/>
      <c r="I108" s="39"/>
      <c r="J108" s="109">
        <v>100000</v>
      </c>
    </row>
    <row r="109" spans="3:13">
      <c r="C109" s="36">
        <v>46103</v>
      </c>
      <c r="D109" s="28" t="s">
        <v>113</v>
      </c>
      <c r="E109" s="28" t="s">
        <v>231</v>
      </c>
      <c r="F109" s="28" t="s">
        <v>187</v>
      </c>
      <c r="G109" s="28" t="s">
        <v>232</v>
      </c>
      <c r="H109" s="28"/>
      <c r="I109" s="35"/>
      <c r="J109" s="42">
        <v>90373</v>
      </c>
    </row>
    <row r="110" spans="3:13" ht="15.75" thickBot="1">
      <c r="C110" s="36"/>
      <c r="D110" s="28"/>
      <c r="E110" s="28"/>
      <c r="F110" s="28"/>
      <c r="G110" s="28"/>
      <c r="H110" s="28"/>
      <c r="I110" s="60"/>
      <c r="J110" s="127">
        <f>SUM(J109)</f>
        <v>90373</v>
      </c>
    </row>
    <row r="111" spans="3:13" ht="0.6" customHeight="1" thickBot="1">
      <c r="C111" s="36"/>
      <c r="D111" s="28"/>
      <c r="E111" s="28"/>
      <c r="F111" s="28"/>
      <c r="G111" s="28"/>
      <c r="H111" s="28"/>
      <c r="I111" s="140"/>
      <c r="J111" s="141"/>
    </row>
    <row r="112" spans="3:13" ht="15.75" hidden="1" thickBot="1">
      <c r="C112" s="36"/>
      <c r="D112" s="28"/>
      <c r="E112" s="28"/>
      <c r="F112" s="28"/>
      <c r="G112" s="28"/>
      <c r="H112" s="28"/>
      <c r="I112" s="140"/>
      <c r="J112" s="141"/>
    </row>
    <row r="113" spans="3:10" ht="21.75" thickBot="1">
      <c r="C113" s="116"/>
      <c r="D113" s="112"/>
      <c r="E113" s="112"/>
      <c r="F113" s="112"/>
      <c r="G113" s="112"/>
      <c r="H113" s="112"/>
      <c r="I113" s="119"/>
      <c r="J113" s="139">
        <f>+J108-J110</f>
        <v>9627</v>
      </c>
    </row>
    <row r="114" spans="3:10" ht="21">
      <c r="J114" s="125"/>
    </row>
    <row r="116" spans="3:10" ht="15.75" thickBot="1"/>
    <row r="117" spans="3:10" ht="15.75" thickBot="1">
      <c r="C117" s="121" t="s">
        <v>233</v>
      </c>
    </row>
    <row r="118" spans="3:10">
      <c r="C118" s="74" t="s">
        <v>135</v>
      </c>
      <c r="D118" s="96" t="s">
        <v>136</v>
      </c>
      <c r="E118" s="96" t="s">
        <v>137</v>
      </c>
      <c r="F118" s="96" t="s">
        <v>138</v>
      </c>
      <c r="G118" s="96" t="s">
        <v>139</v>
      </c>
      <c r="H118" s="96" t="s">
        <v>140</v>
      </c>
      <c r="I118" s="45" t="s">
        <v>141</v>
      </c>
      <c r="J118" s="47" t="s">
        <v>142</v>
      </c>
    </row>
    <row r="119" spans="3:10" ht="15.75" thickBot="1">
      <c r="C119" s="81"/>
      <c r="D119" s="100" t="s">
        <v>144</v>
      </c>
      <c r="E119" s="100" t="s">
        <v>143</v>
      </c>
      <c r="F119" s="100" t="s">
        <v>145</v>
      </c>
      <c r="G119" s="100" t="s">
        <v>146</v>
      </c>
      <c r="H119" s="100" t="s">
        <v>197</v>
      </c>
      <c r="I119" s="82"/>
      <c r="J119" s="83" t="s">
        <v>157</v>
      </c>
    </row>
    <row r="120" spans="3:10" ht="15.75" thickBot="1">
      <c r="C120" s="36">
        <v>46119</v>
      </c>
      <c r="D120" s="38" t="s">
        <v>113</v>
      </c>
      <c r="E120" s="28" t="s">
        <v>147</v>
      </c>
      <c r="F120" s="28" t="s">
        <v>160</v>
      </c>
      <c r="G120" s="28" t="s">
        <v>161</v>
      </c>
      <c r="H120" s="28"/>
      <c r="I120" s="35"/>
      <c r="J120" s="169">
        <v>30000</v>
      </c>
    </row>
    <row r="121" spans="3:10" ht="15.75" thickBot="1">
      <c r="C121" s="28"/>
      <c r="D121" s="38" t="s">
        <v>113</v>
      </c>
      <c r="E121" s="28" t="s">
        <v>147</v>
      </c>
      <c r="F121" s="28" t="s">
        <v>160</v>
      </c>
      <c r="G121" s="28" t="s">
        <v>234</v>
      </c>
      <c r="H121" s="28" t="s">
        <v>235</v>
      </c>
      <c r="I121" s="35"/>
      <c r="J121" s="35">
        <v>25636</v>
      </c>
    </row>
    <row r="122" spans="3:10">
      <c r="C122" s="28" t="s">
        <v>236</v>
      </c>
      <c r="D122" s="38" t="s">
        <v>113</v>
      </c>
      <c r="E122" s="28" t="s">
        <v>147</v>
      </c>
      <c r="F122" s="28" t="s">
        <v>160</v>
      </c>
      <c r="G122" s="28" t="s">
        <v>237</v>
      </c>
      <c r="H122" s="28" t="s">
        <v>238</v>
      </c>
      <c r="I122" s="35"/>
      <c r="J122" s="60">
        <v>10850</v>
      </c>
    </row>
    <row r="123" spans="3:10">
      <c r="C123" s="28"/>
      <c r="D123" s="28"/>
      <c r="E123" s="28"/>
      <c r="F123" s="28"/>
      <c r="G123" s="28"/>
      <c r="H123" s="28"/>
      <c r="I123" s="35">
        <v>6486</v>
      </c>
      <c r="J123" s="60"/>
    </row>
    <row r="124" spans="3:10" ht="15.75" thickBot="1">
      <c r="C124" s="28"/>
      <c r="D124" s="28"/>
      <c r="E124" s="28"/>
      <c r="F124" s="28"/>
      <c r="G124" s="28"/>
      <c r="H124" s="28"/>
      <c r="I124" s="143" t="s">
        <v>173</v>
      </c>
      <c r="J124" s="60"/>
    </row>
    <row r="125" spans="3:10" ht="15.75" thickBot="1">
      <c r="J125" s="44">
        <f>SUM(J121:J124)</f>
        <v>36486</v>
      </c>
    </row>
    <row r="126" spans="3:10" ht="16.899999999999999" customHeight="1" thickBot="1">
      <c r="J126" s="142">
        <f>+J121+J122-I123</f>
        <v>30000</v>
      </c>
    </row>
    <row r="127" spans="3:10" ht="15.75" thickBot="1">
      <c r="J127" s="156">
        <f>+J120-J126</f>
        <v>0</v>
      </c>
    </row>
    <row r="129" spans="3:10" ht="15.75" thickBot="1"/>
    <row r="130" spans="3:10" ht="15.75" thickBot="1">
      <c r="C130" s="123" t="s">
        <v>239</v>
      </c>
    </row>
    <row r="131" spans="3:10">
      <c r="C131" s="74" t="s">
        <v>135</v>
      </c>
      <c r="D131" s="96" t="s">
        <v>136</v>
      </c>
      <c r="E131" s="96" t="s">
        <v>137</v>
      </c>
      <c r="F131" s="96" t="s">
        <v>138</v>
      </c>
      <c r="G131" s="96" t="s">
        <v>139</v>
      </c>
      <c r="H131" s="96" t="s">
        <v>140</v>
      </c>
      <c r="I131" s="45" t="s">
        <v>141</v>
      </c>
      <c r="J131" s="47" t="s">
        <v>142</v>
      </c>
    </row>
    <row r="132" spans="3:10">
      <c r="C132" s="81"/>
      <c r="D132" s="100" t="s">
        <v>144</v>
      </c>
      <c r="E132" s="100" t="s">
        <v>143</v>
      </c>
      <c r="F132" s="100" t="s">
        <v>145</v>
      </c>
      <c r="G132" s="100" t="s">
        <v>146</v>
      </c>
      <c r="H132" s="100"/>
      <c r="I132" s="82"/>
      <c r="J132" s="83" t="s">
        <v>157</v>
      </c>
    </row>
    <row r="133" spans="3:10">
      <c r="C133" s="36">
        <v>46122</v>
      </c>
      <c r="D133" s="28" t="s">
        <v>240</v>
      </c>
      <c r="E133" s="28" t="s">
        <v>229</v>
      </c>
      <c r="F133" s="28" t="s">
        <v>187</v>
      </c>
      <c r="G133" s="28" t="s">
        <v>230</v>
      </c>
      <c r="H133" s="28" t="s">
        <v>191</v>
      </c>
      <c r="I133" s="35"/>
      <c r="J133" s="35">
        <v>10000</v>
      </c>
    </row>
    <row r="134" spans="3:10">
      <c r="C134" s="36">
        <v>46122</v>
      </c>
      <c r="D134" s="28" t="s">
        <v>240</v>
      </c>
      <c r="E134" s="28" t="s">
        <v>229</v>
      </c>
      <c r="F134" s="28" t="s">
        <v>187</v>
      </c>
      <c r="G134" s="28" t="s">
        <v>230</v>
      </c>
      <c r="H134" s="28" t="s">
        <v>241</v>
      </c>
      <c r="I134" s="35"/>
      <c r="J134" s="35">
        <v>3069</v>
      </c>
    </row>
    <row r="135" spans="3:10">
      <c r="C135" s="36">
        <v>46122</v>
      </c>
      <c r="D135" s="28" t="s">
        <v>240</v>
      </c>
      <c r="E135" s="28" t="s">
        <v>229</v>
      </c>
      <c r="F135" s="28" t="s">
        <v>187</v>
      </c>
      <c r="G135" s="28" t="s">
        <v>230</v>
      </c>
      <c r="H135" s="28" t="s">
        <v>242</v>
      </c>
      <c r="I135" s="35"/>
      <c r="J135" s="35">
        <v>4500</v>
      </c>
    </row>
    <row r="136" spans="3:10">
      <c r="C136" s="36">
        <v>46122</v>
      </c>
      <c r="D136" s="28" t="s">
        <v>240</v>
      </c>
      <c r="E136" s="28" t="s">
        <v>229</v>
      </c>
      <c r="F136" s="28" t="s">
        <v>187</v>
      </c>
      <c r="G136" s="28" t="s">
        <v>230</v>
      </c>
      <c r="H136" s="28" t="s">
        <v>242</v>
      </c>
      <c r="I136" s="35"/>
      <c r="J136" s="35">
        <v>4500</v>
      </c>
    </row>
    <row r="137" spans="3:10" ht="15.75" thickBot="1">
      <c r="C137" s="181">
        <v>46125</v>
      </c>
      <c r="D137" s="28" t="s">
        <v>240</v>
      </c>
      <c r="E137" s="27" t="s">
        <v>243</v>
      </c>
      <c r="I137" s="34">
        <v>65000</v>
      </c>
      <c r="J137" s="101">
        <f>SUM(J134:J136)</f>
        <v>12069</v>
      </c>
    </row>
    <row r="138" spans="3:10" ht="21.75" thickBot="1">
      <c r="J138" s="180">
        <f>+J133-J137</f>
        <v>-2069</v>
      </c>
    </row>
    <row r="140" spans="3:10" ht="15.75" thickBot="1"/>
    <row r="141" spans="3:10" ht="15.75" thickBot="1">
      <c r="C141" s="124" t="s">
        <v>244</v>
      </c>
    </row>
    <row r="142" spans="3:10">
      <c r="C142" s="74" t="s">
        <v>135</v>
      </c>
      <c r="D142" s="96" t="s">
        <v>136</v>
      </c>
      <c r="E142" s="96" t="s">
        <v>137</v>
      </c>
      <c r="F142" s="96" t="s">
        <v>138</v>
      </c>
      <c r="G142" s="96" t="s">
        <v>139</v>
      </c>
      <c r="H142" s="96" t="s">
        <v>140</v>
      </c>
      <c r="I142" s="45" t="s">
        <v>141</v>
      </c>
      <c r="J142" s="47" t="s">
        <v>142</v>
      </c>
    </row>
    <row r="143" spans="3:10">
      <c r="C143" s="81"/>
      <c r="D143" s="100" t="s">
        <v>144</v>
      </c>
      <c r="E143" s="100" t="s">
        <v>143</v>
      </c>
      <c r="F143" s="100" t="s">
        <v>145</v>
      </c>
      <c r="G143" s="100" t="s">
        <v>146</v>
      </c>
      <c r="H143" s="100"/>
      <c r="I143" s="82"/>
      <c r="J143" s="83" t="s">
        <v>157</v>
      </c>
    </row>
    <row r="144" spans="3:10">
      <c r="C144" s="36">
        <v>46121</v>
      </c>
      <c r="D144" s="28" t="s">
        <v>245</v>
      </c>
      <c r="E144" s="28" t="s">
        <v>229</v>
      </c>
      <c r="F144" s="28" t="s">
        <v>187</v>
      </c>
      <c r="G144" s="28"/>
      <c r="H144" s="28" t="s">
        <v>246</v>
      </c>
      <c r="I144" s="35"/>
      <c r="J144" s="35">
        <v>50000</v>
      </c>
    </row>
    <row r="145" spans="3:10" ht="15.75" thickBot="1">
      <c r="C145" s="36"/>
      <c r="D145" s="28"/>
      <c r="E145" s="28"/>
      <c r="F145" s="28"/>
      <c r="G145" s="28"/>
      <c r="H145" s="28"/>
      <c r="I145" s="35"/>
      <c r="J145" s="60"/>
    </row>
    <row r="146" spans="3:10" ht="15.75" thickBot="1">
      <c r="C146" s="28"/>
      <c r="D146" s="28"/>
      <c r="E146" s="28"/>
      <c r="F146" s="28"/>
      <c r="G146" s="28"/>
      <c r="H146" s="28"/>
      <c r="I146" s="117"/>
      <c r="J146" s="44"/>
    </row>
    <row r="147" spans="3:10" ht="21.75" thickBot="1">
      <c r="J147" s="138">
        <f>+J144-J146</f>
        <v>50000</v>
      </c>
    </row>
    <row r="150" spans="3:10" ht="15.75" thickBot="1"/>
    <row r="151" spans="3:10" ht="15.75" thickBot="1">
      <c r="C151" s="121" t="s">
        <v>247</v>
      </c>
    </row>
    <row r="152" spans="3:10">
      <c r="C152" s="74" t="s">
        <v>135</v>
      </c>
      <c r="D152" s="96" t="s">
        <v>136</v>
      </c>
      <c r="E152" s="96" t="s">
        <v>137</v>
      </c>
      <c r="F152" s="96" t="s">
        <v>138</v>
      </c>
      <c r="G152" s="96" t="s">
        <v>139</v>
      </c>
      <c r="H152" s="96" t="s">
        <v>140</v>
      </c>
      <c r="I152" s="45" t="s">
        <v>141</v>
      </c>
      <c r="J152" s="47" t="s">
        <v>142</v>
      </c>
    </row>
    <row r="153" spans="3:10">
      <c r="C153" s="81"/>
      <c r="D153" s="100" t="s">
        <v>144</v>
      </c>
      <c r="E153" s="100" t="s">
        <v>143</v>
      </c>
      <c r="F153" s="100" t="s">
        <v>145</v>
      </c>
      <c r="G153" s="100" t="s">
        <v>146</v>
      </c>
      <c r="H153" s="100"/>
      <c r="I153" s="82"/>
      <c r="J153" s="83" t="s">
        <v>157</v>
      </c>
    </row>
    <row r="154" spans="3:10">
      <c r="C154" s="36">
        <v>46125</v>
      </c>
      <c r="D154" s="28" t="s">
        <v>113</v>
      </c>
      <c r="E154" s="28" t="s">
        <v>229</v>
      </c>
      <c r="F154" s="28" t="s">
        <v>145</v>
      </c>
      <c r="G154" s="28" t="s">
        <v>248</v>
      </c>
      <c r="H154" s="28"/>
      <c r="I154" s="35"/>
      <c r="J154" s="35">
        <v>20000</v>
      </c>
    </row>
    <row r="155" spans="3:10">
      <c r="C155" s="28"/>
      <c r="D155" s="28" t="s">
        <v>113</v>
      </c>
      <c r="E155" s="28" t="s">
        <v>229</v>
      </c>
      <c r="F155" s="28" t="s">
        <v>145</v>
      </c>
      <c r="G155" s="28" t="s">
        <v>237</v>
      </c>
      <c r="H155" s="28"/>
      <c r="I155" s="35"/>
      <c r="J155" s="35">
        <v>10850</v>
      </c>
    </row>
    <row r="156" spans="3:10">
      <c r="C156" s="29"/>
      <c r="D156" s="29" t="s">
        <v>113</v>
      </c>
      <c r="E156" s="29" t="s">
        <v>229</v>
      </c>
      <c r="F156" s="29" t="s">
        <v>145</v>
      </c>
      <c r="G156" s="29" t="s">
        <v>249</v>
      </c>
      <c r="H156" s="29" t="s">
        <v>230</v>
      </c>
      <c r="I156" s="60"/>
      <c r="J156" s="60">
        <v>2760</v>
      </c>
    </row>
    <row r="157" spans="3:10">
      <c r="C157" s="28"/>
      <c r="D157" s="28"/>
      <c r="E157" s="28"/>
      <c r="F157" s="28"/>
      <c r="G157" s="28"/>
      <c r="H157" s="28"/>
      <c r="I157" s="35"/>
      <c r="J157" s="35"/>
    </row>
    <row r="158" spans="3:10" ht="21.75" thickBot="1">
      <c r="J158" s="138">
        <f>+J154-J155-J156</f>
        <v>6390</v>
      </c>
    </row>
    <row r="159" spans="3:10">
      <c r="J159" s="137"/>
    </row>
    <row r="160" spans="3:10" ht="15.75" thickBot="1"/>
    <row r="161" spans="3:10" ht="15.75" thickBot="1">
      <c r="C161" s="172" t="s">
        <v>250</v>
      </c>
    </row>
    <row r="162" spans="3:10">
      <c r="C162" s="74" t="s">
        <v>135</v>
      </c>
      <c r="D162" s="96" t="s">
        <v>136</v>
      </c>
      <c r="E162" s="96" t="s">
        <v>137</v>
      </c>
      <c r="F162" s="96" t="s">
        <v>138</v>
      </c>
      <c r="G162" s="96" t="s">
        <v>139</v>
      </c>
      <c r="H162" s="96" t="s">
        <v>140</v>
      </c>
      <c r="I162" s="45" t="s">
        <v>141</v>
      </c>
      <c r="J162" s="47" t="s">
        <v>142</v>
      </c>
    </row>
    <row r="163" spans="3:10">
      <c r="C163" s="81"/>
      <c r="D163" s="100" t="s">
        <v>144</v>
      </c>
      <c r="E163" s="100" t="s">
        <v>143</v>
      </c>
      <c r="F163" s="100" t="s">
        <v>145</v>
      </c>
      <c r="G163" s="100" t="s">
        <v>146</v>
      </c>
      <c r="H163" s="100"/>
      <c r="I163" s="82"/>
      <c r="J163" s="83" t="s">
        <v>157</v>
      </c>
    </row>
    <row r="164" spans="3:10">
      <c r="C164" s="36">
        <v>46128</v>
      </c>
      <c r="D164" s="28" t="s">
        <v>112</v>
      </c>
      <c r="E164" s="28" t="s">
        <v>229</v>
      </c>
      <c r="F164" s="28" t="s">
        <v>251</v>
      </c>
      <c r="G164" s="28" t="s">
        <v>164</v>
      </c>
      <c r="H164" s="28" t="s">
        <v>252</v>
      </c>
      <c r="I164" s="35"/>
      <c r="J164" s="35">
        <v>70000</v>
      </c>
    </row>
    <row r="165" spans="3:10">
      <c r="C165" s="36">
        <v>46128</v>
      </c>
      <c r="D165" s="28" t="s">
        <v>112</v>
      </c>
      <c r="E165" s="28" t="s">
        <v>229</v>
      </c>
      <c r="F165" s="28" t="s">
        <v>251</v>
      </c>
      <c r="G165" s="28" t="s">
        <v>251</v>
      </c>
      <c r="H165" s="28" t="s">
        <v>253</v>
      </c>
      <c r="I165" s="35"/>
      <c r="J165" s="35">
        <v>14100</v>
      </c>
    </row>
    <row r="166" spans="3:10">
      <c r="C166" s="36">
        <v>46128</v>
      </c>
      <c r="D166" s="28" t="s">
        <v>112</v>
      </c>
      <c r="E166" s="28" t="s">
        <v>229</v>
      </c>
      <c r="F166" s="28" t="s">
        <v>251</v>
      </c>
      <c r="G166" s="28"/>
      <c r="H166" s="28" t="s">
        <v>254</v>
      </c>
      <c r="I166" s="35"/>
      <c r="J166" s="35">
        <v>46280</v>
      </c>
    </row>
    <row r="167" spans="3:10">
      <c r="C167" s="36">
        <v>46129</v>
      </c>
      <c r="D167" s="28" t="s">
        <v>112</v>
      </c>
      <c r="E167" s="28" t="s">
        <v>229</v>
      </c>
      <c r="F167" s="28"/>
      <c r="G167" s="28"/>
      <c r="H167" s="28" t="s">
        <v>255</v>
      </c>
      <c r="I167" s="35"/>
      <c r="J167" s="35">
        <v>2700</v>
      </c>
    </row>
    <row r="168" spans="3:10" ht="15.75" thickBot="1">
      <c r="C168" s="36">
        <v>46129</v>
      </c>
      <c r="D168" s="28" t="s">
        <v>112</v>
      </c>
      <c r="E168" s="28" t="s">
        <v>229</v>
      </c>
      <c r="F168" s="28"/>
      <c r="G168" s="28"/>
      <c r="H168" s="28" t="s">
        <v>256</v>
      </c>
      <c r="I168" s="35"/>
      <c r="J168" s="60">
        <v>1500</v>
      </c>
    </row>
    <row r="169" spans="3:10" ht="15.75" thickBot="1">
      <c r="J169" s="155">
        <f>SUM(J165:J168)</f>
        <v>64580</v>
      </c>
    </row>
    <row r="170" spans="3:10" ht="21.75" thickBot="1">
      <c r="J170" s="178">
        <f>+J164-J169</f>
        <v>5420</v>
      </c>
    </row>
    <row r="171" spans="3:10" ht="15.75" thickBot="1"/>
    <row r="172" spans="3:10" ht="15.75" thickBot="1">
      <c r="C172" s="121" t="s">
        <v>257</v>
      </c>
    </row>
    <row r="173" spans="3:10">
      <c r="C173" s="74" t="s">
        <v>135</v>
      </c>
      <c r="D173" s="96" t="s">
        <v>136</v>
      </c>
      <c r="E173" s="96" t="s">
        <v>137</v>
      </c>
      <c r="F173" s="96" t="s">
        <v>138</v>
      </c>
      <c r="G173" s="96" t="s">
        <v>139</v>
      </c>
      <c r="H173" s="96" t="s">
        <v>140</v>
      </c>
      <c r="I173" s="45" t="s">
        <v>141</v>
      </c>
      <c r="J173" s="47" t="s">
        <v>142</v>
      </c>
    </row>
    <row r="174" spans="3:10">
      <c r="C174" s="81"/>
      <c r="D174" s="100" t="s">
        <v>144</v>
      </c>
      <c r="E174" s="100" t="s">
        <v>143</v>
      </c>
      <c r="F174" s="100" t="s">
        <v>145</v>
      </c>
      <c r="G174" s="100" t="s">
        <v>146</v>
      </c>
      <c r="H174" s="100"/>
      <c r="I174" s="82"/>
      <c r="J174" s="83" t="s">
        <v>157</v>
      </c>
    </row>
    <row r="175" spans="3:10">
      <c r="C175" s="36">
        <v>46129</v>
      </c>
      <c r="D175" s="28" t="s">
        <v>113</v>
      </c>
      <c r="E175" s="28" t="s">
        <v>229</v>
      </c>
      <c r="F175" s="28" t="s">
        <v>187</v>
      </c>
      <c r="G175" s="28" t="s">
        <v>258</v>
      </c>
      <c r="H175" s="28"/>
      <c r="I175" s="35"/>
      <c r="J175" s="35">
        <v>20000</v>
      </c>
    </row>
    <row r="176" spans="3:10">
      <c r="C176" s="28"/>
      <c r="D176" s="28" t="s">
        <v>113</v>
      </c>
      <c r="E176" s="28"/>
      <c r="F176" s="28"/>
      <c r="G176" s="28"/>
      <c r="H176" s="28" t="s">
        <v>237</v>
      </c>
      <c r="I176" s="35"/>
      <c r="J176" s="35">
        <v>9600</v>
      </c>
    </row>
    <row r="177" spans="3:10">
      <c r="C177" s="28"/>
      <c r="D177" s="28" t="s">
        <v>113</v>
      </c>
      <c r="E177" s="28"/>
      <c r="F177" s="28"/>
      <c r="G177" s="28"/>
      <c r="H177" s="28" t="s">
        <v>259</v>
      </c>
      <c r="I177" s="35"/>
      <c r="J177" s="60">
        <v>10340</v>
      </c>
    </row>
    <row r="178" spans="3:10">
      <c r="C178" s="28"/>
      <c r="D178" s="28" t="s">
        <v>113</v>
      </c>
      <c r="E178" s="28"/>
      <c r="F178" s="28"/>
      <c r="G178" s="28"/>
      <c r="H178" s="28" t="s">
        <v>260</v>
      </c>
      <c r="I178" s="35"/>
      <c r="J178" s="60">
        <v>29980</v>
      </c>
    </row>
    <row r="179" spans="3:10" ht="15.75" thickBot="1">
      <c r="C179" s="28"/>
      <c r="D179" s="28" t="s">
        <v>113</v>
      </c>
      <c r="E179" s="28"/>
      <c r="F179" s="28"/>
      <c r="G179" s="28"/>
      <c r="H179" s="28" t="s">
        <v>261</v>
      </c>
      <c r="I179" s="35"/>
      <c r="J179" s="60">
        <v>4940</v>
      </c>
    </row>
    <row r="180" spans="3:10" ht="15.75" thickBot="1">
      <c r="J180" s="155">
        <f>SUM(J176:J179)</f>
        <v>54860</v>
      </c>
    </row>
    <row r="181" spans="3:10" ht="21.75" thickBot="1">
      <c r="J181" s="179">
        <f>+J175-J180</f>
        <v>-34860</v>
      </c>
    </row>
    <row r="183" spans="3:10" ht="15.75" thickBot="1"/>
    <row r="184" spans="3:10" ht="15.75" thickBot="1">
      <c r="C184" s="121" t="s">
        <v>262</v>
      </c>
    </row>
    <row r="185" spans="3:10">
      <c r="C185" s="74" t="s">
        <v>135</v>
      </c>
      <c r="D185" s="96" t="s">
        <v>136</v>
      </c>
      <c r="E185" s="96" t="s">
        <v>137</v>
      </c>
      <c r="F185" s="96" t="s">
        <v>138</v>
      </c>
      <c r="G185" s="96" t="s">
        <v>139</v>
      </c>
      <c r="H185" s="96" t="s">
        <v>140</v>
      </c>
      <c r="I185" s="45" t="s">
        <v>141</v>
      </c>
      <c r="J185" s="47" t="s">
        <v>142</v>
      </c>
    </row>
    <row r="186" spans="3:10">
      <c r="C186" s="81"/>
      <c r="D186" s="100" t="s">
        <v>144</v>
      </c>
      <c r="E186" s="100" t="s">
        <v>143</v>
      </c>
      <c r="F186" s="100" t="s">
        <v>145</v>
      </c>
      <c r="G186" s="100" t="s">
        <v>146</v>
      </c>
      <c r="H186" s="100"/>
      <c r="I186" s="82"/>
      <c r="J186" s="83" t="s">
        <v>157</v>
      </c>
    </row>
    <row r="187" spans="3:10">
      <c r="C187" s="36">
        <v>46127</v>
      </c>
      <c r="D187" s="28" t="s">
        <v>113</v>
      </c>
      <c r="E187" s="28" t="s">
        <v>229</v>
      </c>
      <c r="F187" s="28" t="s">
        <v>187</v>
      </c>
      <c r="G187" s="28" t="s">
        <v>187</v>
      </c>
      <c r="H187" s="28" t="s">
        <v>263</v>
      </c>
      <c r="I187" s="35"/>
      <c r="J187" s="35">
        <v>400000</v>
      </c>
    </row>
    <row r="188" spans="3:10">
      <c r="C188" s="36">
        <v>46129</v>
      </c>
      <c r="D188" s="28" t="s">
        <v>113</v>
      </c>
      <c r="E188" s="28" t="s">
        <v>229</v>
      </c>
      <c r="F188" s="28" t="s">
        <v>187</v>
      </c>
      <c r="G188" s="28"/>
      <c r="H188" s="28" t="s">
        <v>237</v>
      </c>
      <c r="I188" s="35"/>
      <c r="J188" s="35">
        <v>11800</v>
      </c>
    </row>
    <row r="189" spans="3:10">
      <c r="C189" s="36">
        <v>46130</v>
      </c>
      <c r="D189" s="28" t="s">
        <v>113</v>
      </c>
      <c r="E189" s="28" t="s">
        <v>229</v>
      </c>
      <c r="F189" s="28" t="s">
        <v>264</v>
      </c>
      <c r="G189" s="28" t="s">
        <v>230</v>
      </c>
      <c r="H189" s="28"/>
      <c r="I189" s="35"/>
      <c r="J189" s="35">
        <v>209200</v>
      </c>
    </row>
    <row r="190" spans="3:10">
      <c r="C190" s="36">
        <v>46132</v>
      </c>
      <c r="D190" s="28" t="s">
        <v>113</v>
      </c>
      <c r="E190" s="28" t="s">
        <v>229</v>
      </c>
      <c r="F190" s="28" t="s">
        <v>187</v>
      </c>
      <c r="G190" s="28" t="s">
        <v>261</v>
      </c>
      <c r="H190" s="28"/>
      <c r="I190" s="35"/>
      <c r="J190" s="60">
        <v>3600</v>
      </c>
    </row>
    <row r="191" spans="3:10">
      <c r="C191" s="36">
        <v>46132</v>
      </c>
      <c r="D191" s="28" t="s">
        <v>113</v>
      </c>
      <c r="E191" s="28" t="s">
        <v>229</v>
      </c>
      <c r="F191" s="28" t="s">
        <v>187</v>
      </c>
      <c r="G191" s="28" t="s">
        <v>265</v>
      </c>
      <c r="H191" s="28" t="s">
        <v>266</v>
      </c>
      <c r="I191" s="35"/>
      <c r="J191" s="60">
        <v>16500</v>
      </c>
    </row>
    <row r="192" spans="3:10">
      <c r="C192" s="36">
        <v>46132</v>
      </c>
      <c r="D192" s="28" t="s">
        <v>113</v>
      </c>
      <c r="E192" s="28" t="s">
        <v>229</v>
      </c>
      <c r="F192" s="28" t="s">
        <v>187</v>
      </c>
      <c r="G192" s="28" t="s">
        <v>267</v>
      </c>
      <c r="H192" s="28" t="s">
        <v>268</v>
      </c>
      <c r="I192" s="35"/>
      <c r="J192" s="60">
        <v>23000</v>
      </c>
    </row>
    <row r="193" spans="3:10">
      <c r="C193" s="36">
        <v>46132</v>
      </c>
      <c r="D193" s="28" t="s">
        <v>113</v>
      </c>
      <c r="E193" s="28" t="s">
        <v>229</v>
      </c>
      <c r="F193" s="28" t="s">
        <v>187</v>
      </c>
      <c r="G193" s="28" t="s">
        <v>261</v>
      </c>
      <c r="H193" s="28" t="s">
        <v>261</v>
      </c>
      <c r="I193" s="35"/>
      <c r="J193" s="60">
        <v>621</v>
      </c>
    </row>
    <row r="194" spans="3:10">
      <c r="C194" s="36">
        <v>46132</v>
      </c>
      <c r="D194" s="28" t="s">
        <v>113</v>
      </c>
      <c r="E194" s="28" t="s">
        <v>229</v>
      </c>
      <c r="F194" s="28" t="s">
        <v>187</v>
      </c>
      <c r="G194" s="28" t="s">
        <v>116</v>
      </c>
      <c r="H194" s="28"/>
      <c r="I194" s="35"/>
      <c r="J194" s="60">
        <v>20000</v>
      </c>
    </row>
    <row r="195" spans="3:10">
      <c r="C195" s="36">
        <v>46132</v>
      </c>
      <c r="D195" s="28" t="s">
        <v>113</v>
      </c>
      <c r="E195" s="28" t="s">
        <v>229</v>
      </c>
      <c r="F195" s="28" t="s">
        <v>187</v>
      </c>
      <c r="G195" s="28" t="s">
        <v>269</v>
      </c>
      <c r="H195" s="28" t="s">
        <v>270</v>
      </c>
      <c r="I195" s="35"/>
      <c r="J195" s="60">
        <v>10000</v>
      </c>
    </row>
    <row r="196" spans="3:10">
      <c r="C196" s="36">
        <v>45767</v>
      </c>
      <c r="D196" s="28" t="s">
        <v>113</v>
      </c>
      <c r="E196" s="28" t="s">
        <v>229</v>
      </c>
      <c r="F196" s="28" t="s">
        <v>187</v>
      </c>
      <c r="G196" s="28" t="s">
        <v>271</v>
      </c>
      <c r="H196" s="28" t="s">
        <v>272</v>
      </c>
      <c r="I196" s="35"/>
      <c r="J196" s="60">
        <v>23000</v>
      </c>
    </row>
    <row r="197" spans="3:10">
      <c r="C197" s="36">
        <v>46132</v>
      </c>
      <c r="D197" s="28" t="s">
        <v>113</v>
      </c>
      <c r="E197" s="28" t="s">
        <v>229</v>
      </c>
      <c r="F197" s="28" t="s">
        <v>187</v>
      </c>
      <c r="G197" s="28" t="s">
        <v>273</v>
      </c>
      <c r="H197" s="28" t="s">
        <v>274</v>
      </c>
      <c r="I197" s="35"/>
      <c r="J197" s="60">
        <v>16500</v>
      </c>
    </row>
    <row r="198" spans="3:10">
      <c r="C198" s="36">
        <v>46132</v>
      </c>
      <c r="D198" s="28" t="s">
        <v>113</v>
      </c>
      <c r="E198" s="28" t="s">
        <v>229</v>
      </c>
      <c r="F198" s="28" t="s">
        <v>187</v>
      </c>
      <c r="G198" s="28" t="s">
        <v>261</v>
      </c>
      <c r="H198" s="28" t="s">
        <v>261</v>
      </c>
      <c r="I198" s="35"/>
      <c r="J198" s="60">
        <v>3600</v>
      </c>
    </row>
    <row r="199" spans="3:10">
      <c r="C199" s="36">
        <v>46132</v>
      </c>
      <c r="D199" s="28" t="s">
        <v>113</v>
      </c>
      <c r="E199" s="28" t="s">
        <v>229</v>
      </c>
      <c r="F199" s="28" t="s">
        <v>187</v>
      </c>
      <c r="G199" s="28" t="s">
        <v>275</v>
      </c>
      <c r="H199" s="28" t="s">
        <v>276</v>
      </c>
      <c r="I199" s="35"/>
      <c r="J199" s="60">
        <v>4080</v>
      </c>
    </row>
    <row r="200" spans="3:10">
      <c r="C200" s="36">
        <v>46133</v>
      </c>
      <c r="D200" s="28" t="s">
        <v>113</v>
      </c>
      <c r="E200" s="28" t="s">
        <v>229</v>
      </c>
      <c r="F200" s="28" t="s">
        <v>187</v>
      </c>
      <c r="G200" s="28" t="s">
        <v>275</v>
      </c>
      <c r="H200" s="28" t="s">
        <v>277</v>
      </c>
      <c r="I200" s="35"/>
      <c r="J200" s="60">
        <v>17205</v>
      </c>
    </row>
    <row r="201" spans="3:10">
      <c r="C201" s="36">
        <v>46134</v>
      </c>
      <c r="D201" s="28" t="s">
        <v>113</v>
      </c>
      <c r="E201" s="28" t="s">
        <v>229</v>
      </c>
      <c r="F201" s="28" t="s">
        <v>187</v>
      </c>
      <c r="G201" s="28" t="s">
        <v>275</v>
      </c>
      <c r="H201" s="28" t="s">
        <v>277</v>
      </c>
      <c r="I201" s="35"/>
      <c r="J201" s="60">
        <v>6646</v>
      </c>
    </row>
    <row r="202" spans="3:10">
      <c r="C202" s="36">
        <v>46135</v>
      </c>
      <c r="D202" s="28" t="s">
        <v>113</v>
      </c>
      <c r="E202" s="28" t="s">
        <v>229</v>
      </c>
      <c r="F202" s="28" t="s">
        <v>187</v>
      </c>
      <c r="G202" s="28" t="s">
        <v>275</v>
      </c>
      <c r="H202" s="28" t="s">
        <v>117</v>
      </c>
      <c r="I202" s="35"/>
      <c r="J202" s="60">
        <v>1380</v>
      </c>
    </row>
    <row r="203" spans="3:10">
      <c r="C203" s="36">
        <v>46135</v>
      </c>
      <c r="D203" s="28" t="s">
        <v>113</v>
      </c>
      <c r="E203" s="28" t="s">
        <v>229</v>
      </c>
      <c r="F203" s="28" t="s">
        <v>187</v>
      </c>
      <c r="G203" s="28" t="s">
        <v>275</v>
      </c>
      <c r="H203" s="28" t="s">
        <v>278</v>
      </c>
      <c r="I203" s="35"/>
      <c r="J203" s="60">
        <v>10400</v>
      </c>
    </row>
    <row r="204" spans="3:10">
      <c r="C204" s="36">
        <v>46136</v>
      </c>
      <c r="D204" s="28" t="s">
        <v>113</v>
      </c>
      <c r="E204" s="28" t="s">
        <v>229</v>
      </c>
      <c r="F204" s="28" t="s">
        <v>187</v>
      </c>
      <c r="G204" s="28" t="s">
        <v>275</v>
      </c>
      <c r="H204" s="28" t="s">
        <v>278</v>
      </c>
      <c r="I204" s="35"/>
      <c r="J204" s="60">
        <v>21560</v>
      </c>
    </row>
    <row r="205" spans="3:10">
      <c r="C205" s="36">
        <v>46136</v>
      </c>
      <c r="D205" s="28" t="s">
        <v>113</v>
      </c>
      <c r="E205" s="28" t="s">
        <v>229</v>
      </c>
      <c r="F205" s="28" t="s">
        <v>187</v>
      </c>
      <c r="G205" s="28" t="s">
        <v>261</v>
      </c>
      <c r="H205" s="28" t="s">
        <v>279</v>
      </c>
      <c r="I205" s="35"/>
      <c r="J205" s="60">
        <v>1150</v>
      </c>
    </row>
    <row r="206" spans="3:10">
      <c r="C206" s="28"/>
      <c r="D206" s="28" t="s">
        <v>113</v>
      </c>
      <c r="E206" s="28" t="s">
        <v>229</v>
      </c>
      <c r="F206" s="28" t="s">
        <v>187</v>
      </c>
      <c r="G206" s="28"/>
      <c r="H206" s="28"/>
      <c r="I206" s="35"/>
      <c r="J206" s="60"/>
    </row>
    <row r="207" spans="3:10" ht="15.75" thickBot="1">
      <c r="C207" s="28"/>
      <c r="D207" s="28" t="s">
        <v>113</v>
      </c>
      <c r="E207" s="28" t="s">
        <v>229</v>
      </c>
      <c r="F207" s="28" t="s">
        <v>187</v>
      </c>
      <c r="G207" s="28"/>
      <c r="H207" s="28"/>
      <c r="I207" s="35"/>
      <c r="J207" s="60"/>
    </row>
    <row r="208" spans="3:10" ht="15.75" thickBot="1">
      <c r="J208" s="155">
        <f>SUM(J188:J207)</f>
        <v>400242</v>
      </c>
    </row>
    <row r="209" spans="3:10" ht="21.75" thickBot="1">
      <c r="J209" s="178">
        <f>+J187-J208</f>
        <v>-242</v>
      </c>
    </row>
    <row r="211" spans="3:10" ht="15.75" thickBot="1"/>
    <row r="212" spans="3:10" ht="15.75" thickBot="1">
      <c r="C212" s="121" t="s">
        <v>280</v>
      </c>
    </row>
    <row r="213" spans="3:10">
      <c r="C213" s="74" t="s">
        <v>135</v>
      </c>
      <c r="D213" s="96" t="s">
        <v>136</v>
      </c>
      <c r="E213" s="96" t="s">
        <v>137</v>
      </c>
      <c r="F213" s="96" t="s">
        <v>138</v>
      </c>
      <c r="G213" s="96" t="s">
        <v>139</v>
      </c>
      <c r="H213" s="96" t="s">
        <v>140</v>
      </c>
      <c r="I213" s="45" t="s">
        <v>141</v>
      </c>
      <c r="J213" s="47" t="s">
        <v>142</v>
      </c>
    </row>
    <row r="214" spans="3:10">
      <c r="C214" s="182"/>
      <c r="D214" s="183" t="s">
        <v>144</v>
      </c>
      <c r="E214" s="183" t="s">
        <v>143</v>
      </c>
      <c r="F214" s="183" t="s">
        <v>145</v>
      </c>
      <c r="G214" s="183" t="s">
        <v>146</v>
      </c>
      <c r="H214" s="183"/>
      <c r="I214" s="184"/>
      <c r="J214" s="185" t="s">
        <v>157</v>
      </c>
    </row>
    <row r="215" spans="3:10">
      <c r="C215" s="36">
        <v>46136</v>
      </c>
      <c r="D215" s="28" t="s">
        <v>113</v>
      </c>
      <c r="E215" s="28" t="s">
        <v>229</v>
      </c>
      <c r="F215" s="28" t="s">
        <v>187</v>
      </c>
      <c r="G215" s="28" t="s">
        <v>281</v>
      </c>
      <c r="H215" s="28" t="s">
        <v>282</v>
      </c>
      <c r="I215" s="35"/>
      <c r="J215" s="186">
        <v>50000</v>
      </c>
    </row>
    <row r="216" spans="3:10">
      <c r="C216" s="36">
        <v>46138</v>
      </c>
      <c r="D216" s="28" t="s">
        <v>113</v>
      </c>
      <c r="E216" s="28" t="s">
        <v>229</v>
      </c>
      <c r="F216" s="28" t="s">
        <v>187</v>
      </c>
      <c r="G216" s="28" t="s">
        <v>283</v>
      </c>
      <c r="H216" s="28" t="s">
        <v>284</v>
      </c>
      <c r="I216" s="35"/>
      <c r="J216" s="35">
        <v>7980</v>
      </c>
    </row>
    <row r="217" spans="3:10">
      <c r="C217" s="36">
        <v>46136</v>
      </c>
      <c r="D217" s="28" t="s">
        <v>113</v>
      </c>
      <c r="E217" s="28" t="s">
        <v>229</v>
      </c>
      <c r="F217" s="28" t="s">
        <v>187</v>
      </c>
      <c r="G217" s="28" t="s">
        <v>283</v>
      </c>
      <c r="H217" s="28" t="s">
        <v>284</v>
      </c>
      <c r="I217" s="35"/>
      <c r="J217" s="35">
        <v>3380</v>
      </c>
    </row>
    <row r="218" spans="3:10">
      <c r="C218" s="36">
        <v>46136</v>
      </c>
      <c r="D218" s="28" t="s">
        <v>113</v>
      </c>
      <c r="E218" s="28" t="s">
        <v>229</v>
      </c>
      <c r="F218" s="28" t="s">
        <v>187</v>
      </c>
      <c r="G218" s="28" t="s">
        <v>261</v>
      </c>
      <c r="H218" s="28" t="s">
        <v>284</v>
      </c>
      <c r="I218" s="35"/>
      <c r="J218" s="35">
        <v>3560</v>
      </c>
    </row>
    <row r="219" spans="3:10">
      <c r="C219" s="36">
        <v>46135</v>
      </c>
      <c r="D219" s="28" t="s">
        <v>113</v>
      </c>
      <c r="E219" s="28" t="s">
        <v>229</v>
      </c>
      <c r="F219" s="28" t="s">
        <v>187</v>
      </c>
      <c r="G219" s="28" t="s">
        <v>261</v>
      </c>
      <c r="H219" s="28" t="s">
        <v>284</v>
      </c>
      <c r="I219" s="35"/>
      <c r="J219" s="35">
        <v>8780</v>
      </c>
    </row>
    <row r="220" spans="3:10" ht="12.6" customHeight="1">
      <c r="C220" s="36">
        <v>46135</v>
      </c>
      <c r="D220" s="28" t="s">
        <v>113</v>
      </c>
      <c r="E220" s="28" t="s">
        <v>237</v>
      </c>
      <c r="F220" s="28" t="s">
        <v>187</v>
      </c>
      <c r="G220" s="28"/>
      <c r="H220" s="28" t="s">
        <v>284</v>
      </c>
      <c r="I220" s="35"/>
      <c r="J220" s="60">
        <v>10050</v>
      </c>
    </row>
    <row r="221" spans="3:10">
      <c r="C221" s="36">
        <v>46139</v>
      </c>
      <c r="D221" s="28" t="s">
        <v>113</v>
      </c>
      <c r="E221" s="28" t="s">
        <v>229</v>
      </c>
      <c r="F221" s="28" t="s">
        <v>187</v>
      </c>
      <c r="G221" s="28" t="s">
        <v>187</v>
      </c>
      <c r="H221" s="28" t="s">
        <v>284</v>
      </c>
      <c r="I221" s="35"/>
      <c r="J221" s="60">
        <v>8370</v>
      </c>
    </row>
    <row r="222" spans="3:10">
      <c r="C222" s="36">
        <v>46139</v>
      </c>
      <c r="D222" s="28" t="s">
        <v>113</v>
      </c>
      <c r="E222" s="28" t="s">
        <v>229</v>
      </c>
      <c r="F222" s="28" t="s">
        <v>187</v>
      </c>
      <c r="G222" s="28" t="s">
        <v>187</v>
      </c>
      <c r="H222" s="28" t="s">
        <v>284</v>
      </c>
      <c r="I222" s="35"/>
      <c r="J222" s="60">
        <v>3450</v>
      </c>
    </row>
    <row r="223" spans="3:10">
      <c r="C223" s="36">
        <v>46136</v>
      </c>
      <c r="D223" s="28" t="s">
        <v>113</v>
      </c>
      <c r="E223" s="28" t="s">
        <v>229</v>
      </c>
      <c r="F223" s="28" t="s">
        <v>194</v>
      </c>
      <c r="G223" s="28" t="s">
        <v>84</v>
      </c>
      <c r="H223" s="28"/>
      <c r="I223" s="35"/>
      <c r="J223" s="60">
        <v>21560</v>
      </c>
    </row>
    <row r="224" spans="3:10">
      <c r="C224" s="36"/>
      <c r="D224" s="28"/>
      <c r="E224" s="28"/>
      <c r="F224" s="28"/>
      <c r="G224" s="28"/>
      <c r="H224" s="28"/>
      <c r="I224" s="35"/>
      <c r="J224" s="60"/>
    </row>
    <row r="225" spans="3:10">
      <c r="C225" s="36"/>
      <c r="D225" s="28"/>
      <c r="E225" s="28"/>
      <c r="F225" s="28"/>
      <c r="G225" s="28"/>
      <c r="H225" s="28"/>
      <c r="I225" s="35"/>
      <c r="J225" s="60"/>
    </row>
    <row r="226" spans="3:10">
      <c r="C226" s="36"/>
      <c r="D226" s="28"/>
      <c r="E226" s="28"/>
      <c r="F226" s="28"/>
      <c r="G226" s="28"/>
      <c r="H226" s="28"/>
      <c r="I226" s="35"/>
      <c r="J226" s="60"/>
    </row>
    <row r="227" spans="3:10">
      <c r="C227" s="36"/>
      <c r="D227" s="28"/>
      <c r="E227" s="28"/>
      <c r="F227" s="28"/>
      <c r="G227" s="28"/>
      <c r="H227" s="28"/>
      <c r="I227" s="35"/>
      <c r="J227" s="60"/>
    </row>
    <row r="228" spans="3:10">
      <c r="C228" s="36"/>
      <c r="D228" s="28"/>
      <c r="E228" s="28"/>
      <c r="F228" s="28"/>
      <c r="G228" s="28"/>
      <c r="H228" s="28"/>
      <c r="I228" s="35"/>
      <c r="J228" s="60"/>
    </row>
    <row r="229" spans="3:10" ht="15.75" thickBot="1">
      <c r="C229" s="28"/>
      <c r="D229" s="28"/>
      <c r="E229" s="28"/>
      <c r="F229" s="28"/>
      <c r="G229" s="28"/>
      <c r="H229" s="28"/>
      <c r="I229" s="35"/>
      <c r="J229" s="187">
        <f>SUM(J216:J228)</f>
        <v>67130</v>
      </c>
    </row>
    <row r="230" spans="3:10" ht="24" thickBot="1">
      <c r="J230" s="214">
        <f>+J215-J229</f>
        <v>-17130</v>
      </c>
    </row>
    <row r="232" spans="3:10" ht="15.75" thickBot="1"/>
    <row r="233" spans="3:10" ht="15.75" thickBot="1">
      <c r="C233" s="121" t="s">
        <v>285</v>
      </c>
    </row>
    <row r="234" spans="3:10">
      <c r="C234" s="74" t="s">
        <v>135</v>
      </c>
      <c r="D234" s="96" t="s">
        <v>136</v>
      </c>
      <c r="E234" s="96" t="s">
        <v>137</v>
      </c>
      <c r="F234" s="96" t="s">
        <v>138</v>
      </c>
      <c r="G234" s="96" t="s">
        <v>139</v>
      </c>
      <c r="H234" s="96" t="s">
        <v>140</v>
      </c>
      <c r="I234" s="45" t="s">
        <v>141</v>
      </c>
      <c r="J234" s="47" t="s">
        <v>142</v>
      </c>
    </row>
    <row r="235" spans="3:10">
      <c r="C235" s="182"/>
      <c r="D235" s="183" t="s">
        <v>144</v>
      </c>
      <c r="E235" s="183" t="s">
        <v>143</v>
      </c>
      <c r="F235" s="183" t="s">
        <v>145</v>
      </c>
      <c r="G235" s="183" t="s">
        <v>146</v>
      </c>
      <c r="H235" s="183"/>
      <c r="I235" s="184"/>
      <c r="J235" s="185" t="s">
        <v>157</v>
      </c>
    </row>
    <row r="236" spans="3:10">
      <c r="C236" s="36">
        <v>46140</v>
      </c>
      <c r="D236" s="28" t="s">
        <v>113</v>
      </c>
      <c r="E236" s="28" t="s">
        <v>229</v>
      </c>
      <c r="F236" s="28" t="s">
        <v>281</v>
      </c>
      <c r="G236" s="28" t="s">
        <v>286</v>
      </c>
      <c r="H236" s="28"/>
      <c r="I236" s="35"/>
      <c r="J236" s="35">
        <v>30000</v>
      </c>
    </row>
    <row r="237" spans="3:10">
      <c r="C237" s="36">
        <v>46140</v>
      </c>
      <c r="D237" s="28" t="s">
        <v>113</v>
      </c>
      <c r="E237" s="28" t="s">
        <v>287</v>
      </c>
      <c r="F237" s="28" t="s">
        <v>281</v>
      </c>
      <c r="G237" s="28" t="s">
        <v>288</v>
      </c>
      <c r="H237" s="28" t="s">
        <v>289</v>
      </c>
      <c r="I237" s="35"/>
      <c r="J237" s="35">
        <v>12000</v>
      </c>
    </row>
    <row r="238" spans="3:10">
      <c r="C238" s="36">
        <v>46141</v>
      </c>
      <c r="D238" s="28" t="s">
        <v>113</v>
      </c>
      <c r="E238" s="28" t="s">
        <v>287</v>
      </c>
      <c r="F238" s="28" t="s">
        <v>281</v>
      </c>
      <c r="G238" s="28" t="s">
        <v>273</v>
      </c>
      <c r="H238" s="28"/>
      <c r="I238" s="35"/>
      <c r="J238" s="35">
        <v>4198</v>
      </c>
    </row>
    <row r="239" spans="3:10">
      <c r="C239" s="36">
        <v>46141</v>
      </c>
      <c r="D239" s="28" t="s">
        <v>113</v>
      </c>
      <c r="E239" s="28" t="s">
        <v>290</v>
      </c>
      <c r="F239" s="28" t="s">
        <v>281</v>
      </c>
      <c r="G239" s="28" t="s">
        <v>291</v>
      </c>
      <c r="H239" s="28" t="s">
        <v>292</v>
      </c>
      <c r="I239" s="35"/>
      <c r="J239" s="35">
        <v>6000</v>
      </c>
    </row>
    <row r="240" spans="3:10">
      <c r="C240" s="36">
        <v>46058</v>
      </c>
      <c r="D240" s="28" t="s">
        <v>113</v>
      </c>
      <c r="E240" s="28" t="s">
        <v>237</v>
      </c>
      <c r="F240" s="28" t="s">
        <v>293</v>
      </c>
      <c r="G240" s="28" t="s">
        <v>294</v>
      </c>
      <c r="H240" s="28"/>
      <c r="I240" s="35"/>
      <c r="J240" s="35">
        <v>3400</v>
      </c>
    </row>
    <row r="241" spans="3:10">
      <c r="C241" s="36">
        <v>46058</v>
      </c>
      <c r="D241" s="28" t="s">
        <v>113</v>
      </c>
      <c r="E241" s="28" t="s">
        <v>237</v>
      </c>
      <c r="F241" s="28" t="s">
        <v>293</v>
      </c>
      <c r="G241" s="28" t="s">
        <v>294</v>
      </c>
      <c r="H241" s="28"/>
      <c r="I241" s="35"/>
      <c r="J241" s="35">
        <v>800</v>
      </c>
    </row>
    <row r="242" spans="3:10">
      <c r="C242" s="36">
        <v>46086</v>
      </c>
      <c r="D242" s="28" t="s">
        <v>113</v>
      </c>
      <c r="E242" s="28" t="s">
        <v>295</v>
      </c>
      <c r="F242" s="28"/>
      <c r="G242" s="28" t="s">
        <v>284</v>
      </c>
      <c r="H242" s="28"/>
      <c r="I242" s="35"/>
      <c r="J242" s="35">
        <v>10010</v>
      </c>
    </row>
    <row r="243" spans="3:10">
      <c r="C243" s="28"/>
      <c r="D243" s="28"/>
      <c r="E243" s="28"/>
      <c r="F243" s="28"/>
      <c r="G243" s="28"/>
      <c r="H243" s="28"/>
      <c r="I243" s="35"/>
      <c r="J243" s="35"/>
    </row>
    <row r="244" spans="3:10">
      <c r="C244" s="28"/>
      <c r="D244" s="28"/>
      <c r="E244" s="28"/>
      <c r="F244" s="28"/>
      <c r="G244" s="28"/>
      <c r="H244" s="28"/>
      <c r="I244" s="35"/>
      <c r="J244" s="35"/>
    </row>
    <row r="245" spans="3:10" ht="15.75" thickBot="1">
      <c r="C245" s="28"/>
      <c r="D245" s="28"/>
      <c r="E245" s="28"/>
      <c r="F245" s="28"/>
      <c r="G245" s="28"/>
      <c r="H245" s="28"/>
      <c r="I245" s="35"/>
      <c r="J245" s="60">
        <f>SUM(J237:J244)</f>
        <v>36408</v>
      </c>
    </row>
    <row r="246" spans="3:10" ht="21.75" thickBot="1">
      <c r="J246" s="215">
        <f>+J236-J245</f>
        <v>-6408</v>
      </c>
    </row>
    <row r="249" spans="3:10">
      <c r="C249" s="121" t="s">
        <v>296</v>
      </c>
    </row>
    <row r="250" spans="3:10">
      <c r="C250" s="74" t="s">
        <v>135</v>
      </c>
      <c r="D250" s="96" t="s">
        <v>136</v>
      </c>
      <c r="E250" s="96" t="s">
        <v>137</v>
      </c>
      <c r="F250" s="96" t="s">
        <v>138</v>
      </c>
      <c r="G250" s="96" t="s">
        <v>139</v>
      </c>
      <c r="H250" s="96" t="s">
        <v>140</v>
      </c>
      <c r="I250" s="45" t="s">
        <v>141</v>
      </c>
      <c r="J250" s="47" t="s">
        <v>142</v>
      </c>
    </row>
    <row r="251" spans="3:10">
      <c r="C251" s="81"/>
      <c r="D251" s="218" t="s">
        <v>144</v>
      </c>
      <c r="E251" s="218" t="s">
        <v>143</v>
      </c>
      <c r="F251" s="218" t="s">
        <v>145</v>
      </c>
      <c r="G251" s="218" t="s">
        <v>146</v>
      </c>
      <c r="H251" s="218"/>
      <c r="I251" s="82"/>
      <c r="J251" s="83" t="s">
        <v>157</v>
      </c>
    </row>
    <row r="252" spans="3:10">
      <c r="C252" s="219">
        <v>46117</v>
      </c>
      <c r="D252" s="216" t="s">
        <v>113</v>
      </c>
      <c r="E252" s="216" t="s">
        <v>229</v>
      </c>
      <c r="F252" s="216" t="s">
        <v>281</v>
      </c>
      <c r="G252" s="216" t="s">
        <v>213</v>
      </c>
      <c r="H252" s="216" t="s">
        <v>297</v>
      </c>
      <c r="I252" s="217"/>
      <c r="J252" s="217">
        <v>50000</v>
      </c>
    </row>
    <row r="253" spans="3:10">
      <c r="C253" s="219" t="s">
        <v>298</v>
      </c>
      <c r="D253" s="216" t="s">
        <v>113</v>
      </c>
      <c r="E253" s="216" t="s">
        <v>229</v>
      </c>
      <c r="F253" s="216" t="s">
        <v>273</v>
      </c>
      <c r="G253" s="216" t="s">
        <v>273</v>
      </c>
      <c r="H253" s="216"/>
      <c r="I253" s="217"/>
      <c r="J253" s="217">
        <v>23100</v>
      </c>
    </row>
    <row r="254" spans="3:10">
      <c r="C254" s="225"/>
      <c r="D254" s="216" t="s">
        <v>113</v>
      </c>
      <c r="E254" s="225" t="s">
        <v>229</v>
      </c>
      <c r="F254" s="225"/>
      <c r="G254" s="225"/>
      <c r="H254" s="225"/>
      <c r="I254" s="226"/>
      <c r="J254" s="226"/>
    </row>
    <row r="255" spans="3:10">
      <c r="C255" s="216"/>
      <c r="D255" s="216" t="s">
        <v>113</v>
      </c>
      <c r="E255" s="216"/>
      <c r="F255" s="216"/>
      <c r="G255" s="216"/>
      <c r="H255" s="216"/>
      <c r="I255" s="217"/>
      <c r="J255" s="226">
        <f>SUM(J253:J254)</f>
        <v>23100</v>
      </c>
    </row>
    <row r="256" spans="3:10" ht="18.75">
      <c r="J256" s="228">
        <f>+J252-J255</f>
        <v>26900</v>
      </c>
    </row>
  </sheetData>
  <mergeCells count="1">
    <mergeCell ref="L74:M74"/>
  </mergeCells>
  <phoneticPr fontId="13" type="noConversion"/>
  <conditionalFormatting sqref="J16:J17 J38">
    <cfRule type="expression" dxfId="11" priority="22">
      <formula>A1&gt;0</formula>
    </cfRule>
  </conditionalFormatting>
  <conditionalFormatting sqref="J28:J29">
    <cfRule type="expression" dxfId="10" priority="32">
      <formula>A15&gt;0</formula>
    </cfRule>
  </conditionalFormatting>
  <conditionalFormatting sqref="J30:J31 J35:J37">
    <cfRule type="expression" dxfId="9" priority="20">
      <formula>A16&gt;0</formula>
    </cfRule>
  </conditionalFormatting>
  <conditionalFormatting sqref="J39">
    <cfRule type="expression" dxfId="8" priority="34">
      <formula>A23&gt;0</formula>
    </cfRule>
  </conditionalFormatting>
  <conditionalFormatting sqref="J40:J41">
    <cfRule type="expression" dxfId="7" priority="33">
      <formula>A23&gt;0</formula>
    </cfRule>
  </conditionalFormatting>
  <conditionalFormatting sqref="J45:J47">
    <cfRule type="expression" dxfId="6" priority="31">
      <formula>A17&gt;0</formula>
    </cfRule>
  </conditionalFormatting>
  <conditionalFormatting sqref="J48:J49">
    <cfRule type="expression" dxfId="5" priority="29">
      <formula>A16&gt;0</formula>
    </cfRule>
  </conditionalFormatting>
  <conditionalFormatting sqref="J50">
    <cfRule type="expression" dxfId="4" priority="27">
      <formula>A16&gt;0</formula>
    </cfRule>
  </conditionalFormatting>
  <conditionalFormatting sqref="J51">
    <cfRule type="expression" dxfId="3" priority="26">
      <formula>A16&gt;0</formula>
    </cfRule>
  </conditionalFormatting>
  <conditionalFormatting sqref="J52">
    <cfRule type="expression" dxfId="2" priority="24">
      <formula>A16&gt;0</formula>
    </cfRule>
  </conditionalFormatting>
  <conditionalFormatting sqref="J64:J65">
    <cfRule type="expression" dxfId="1" priority="21">
      <formula>A21&gt;0</formula>
    </cfRule>
  </conditionalFormatting>
  <conditionalFormatting sqref="J75">
    <cfRule type="expression" dxfId="0" priority="19">
      <formula>A63&gt;0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Ingresos</vt:lpstr>
      <vt:lpstr>Gastos</vt:lpstr>
      <vt:lpstr>Costos</vt:lpstr>
      <vt:lpstr>Datos</vt:lpstr>
      <vt:lpstr>CONTROL TERRENO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 Academia</dc:creator>
  <cp:keywords/>
  <dc:description/>
  <cp:lastModifiedBy>vrecabarrena@outlook.com</cp:lastModifiedBy>
  <cp:revision/>
  <dcterms:created xsi:type="dcterms:W3CDTF">2024-06-04T19:06:17Z</dcterms:created>
  <dcterms:modified xsi:type="dcterms:W3CDTF">2026-07-15T03:47:59Z</dcterms:modified>
  <cp:category/>
  <cp:contentStatus/>
</cp:coreProperties>
</file>